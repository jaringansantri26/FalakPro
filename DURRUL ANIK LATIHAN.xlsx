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D:\PASARAN FALAK\PASARAN\MULUD\durrul aniq\ANG YAFI\"/>
    </mc:Choice>
  </mc:AlternateContent>
  <xr:revisionPtr revIDLastSave="0" documentId="13_ncr:1_{5CB4E733-4723-41AA-915C-D2D196E6A33A}" xr6:coauthVersionLast="47" xr6:coauthVersionMax="47" xr10:uidLastSave="{00000000-0000-0000-0000-000000000000}"/>
  <bookViews>
    <workbookView xWindow="-108" yWindow="-108" windowWidth="23256" windowHeight="12456" tabRatio="550" xr2:uid="{00000000-000D-0000-FFFF-FFFF00000000}"/>
  </bookViews>
  <sheets>
    <sheet name="MENU" sheetId="1" r:id="rId1"/>
    <sheet name="PROSES" sheetId="2" r:id="rId2"/>
    <sheet name="Delta T" sheetId="3" r:id="rId3"/>
    <sheet name="HAROKAT" sheetId="4" r:id="rId4"/>
    <sheet name="TA'DIL" sheetId="5" r:id="rId5"/>
  </sheets>
  <definedNames>
    <definedName name="A">PROSES!$Q$27</definedName>
    <definedName name="ac">PROSES!$T$81</definedName>
    <definedName name="am">PROSES!$T$39</definedName>
    <definedName name="Azc">PROSES!$T$95</definedName>
    <definedName name="Azm">PROSES!$T$55</definedName>
    <definedName name="B">PROSES!$T$77</definedName>
    <definedName name="BT">PROSES!$K$10</definedName>
    <definedName name="D">PROSES!$S$27</definedName>
    <definedName name="dc">PROSES!$T$79</definedName>
    <definedName name="Dip">PROSES!$T$49</definedName>
    <definedName name="dm">PROSES!$T$37</definedName>
    <definedName name="e">PROSES!$T$48</definedName>
    <definedName name="GC">PROSES!$T$93</definedName>
    <definedName name="GM">PROSES!$T$51</definedName>
    <definedName name="hc">PROSES!$T$94</definedName>
    <definedName name="hm">PROSES!$T$50</definedName>
    <definedName name="Hp">PROSES!$T$91</definedName>
    <definedName name="LMT">PROSES!$T$53</definedName>
    <definedName name="LT">PROSES!$K$9</definedName>
    <definedName name="m">PROSES!$O$27</definedName>
    <definedName name="MARKAS">#REF!</definedName>
    <definedName name="mh">PROSES!$T$107</definedName>
    <definedName name="Mo">PROSES!$T$69</definedName>
    <definedName name="N">PROSES!$R$27</definedName>
    <definedName name="O">PROSES!$T$27</definedName>
    <definedName name="P">PROSES!$T$99</definedName>
    <definedName name="PI">PROSES!$N$3</definedName>
    <definedName name="_xlnm.Print_Area" localSheetId="0">#REF!</definedName>
    <definedName name="Ref">PROSES!$T$98</definedName>
    <definedName name="S">PROSES!$N$27</definedName>
    <definedName name="sd">PROSES!$T$47</definedName>
    <definedName name="sdc">PROSES!$T$92</definedName>
    <definedName name="ST">PROSES!$U$27</definedName>
    <definedName name="TDL">'TA''DIL'!$B$5:$AF$365</definedName>
    <definedName name="TS">PROSES!$T$35</definedName>
    <definedName name="TT">PROSES!$J$9</definedName>
    <definedName name="TZ">PROSES!$J$10</definedName>
    <definedName name="WQ">PROSES!$P$27</definedName>
    <definedName name="Y">PROSES!$T$108</definedName>
    <definedName name="z">PROSES!$T$97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2" l="1"/>
  <c r="W3" i="2"/>
  <c r="I7" i="1"/>
  <c r="K10" i="2" s="1"/>
  <c r="X4" i="2" s="1"/>
  <c r="I6" i="1"/>
  <c r="K9" i="2" s="1"/>
  <c r="X3" i="2" s="1"/>
  <c r="J10" i="2"/>
  <c r="J9" i="2"/>
  <c r="K7" i="2"/>
  <c r="L7" i="2"/>
  <c r="K8" i="2"/>
  <c r="L8" i="2"/>
  <c r="J8" i="2"/>
  <c r="J7" i="2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B75" i="4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B232" i="4" s="1"/>
  <c r="AB233" i="4" s="1"/>
  <c r="AB234" i="4" s="1"/>
  <c r="AB235" i="4" s="1"/>
  <c r="AB236" i="4" s="1"/>
  <c r="AB237" i="4" s="1"/>
  <c r="AB238" i="4" s="1"/>
  <c r="AB239" i="4" s="1"/>
  <c r="AB240" i="4" s="1"/>
  <c r="AB241" i="4" s="1"/>
  <c r="AB242" i="4" s="1"/>
  <c r="AB243" i="4" s="1"/>
  <c r="AB244" i="4" s="1"/>
  <c r="AB245" i="4" s="1"/>
  <c r="AB246" i="4" s="1"/>
  <c r="AB247" i="4" s="1"/>
  <c r="AB248" i="4" s="1"/>
  <c r="AB249" i="4" s="1"/>
  <c r="AB250" i="4" s="1"/>
  <c r="AB251" i="4" s="1"/>
  <c r="AB252" i="4" s="1"/>
  <c r="AB253" i="4" s="1"/>
  <c r="AB254" i="4" s="1"/>
  <c r="AB255" i="4" s="1"/>
  <c r="AB256" i="4" s="1"/>
  <c r="AB257" i="4" s="1"/>
  <c r="AB258" i="4" s="1"/>
  <c r="AB259" i="4" s="1"/>
  <c r="AB260" i="4" s="1"/>
  <c r="AB261" i="4" s="1"/>
  <c r="AB262" i="4" s="1"/>
  <c r="AB263" i="4" s="1"/>
  <c r="AB264" i="4" s="1"/>
  <c r="AB265" i="4" s="1"/>
  <c r="AB266" i="4" s="1"/>
  <c r="AB267" i="4" s="1"/>
  <c r="AB268" i="4" s="1"/>
  <c r="AB269" i="4" s="1"/>
  <c r="AB270" i="4" s="1"/>
  <c r="AB271" i="4" s="1"/>
  <c r="AB272" i="4" s="1"/>
  <c r="AB273" i="4" s="1"/>
  <c r="AB274" i="4" s="1"/>
  <c r="AB275" i="4" s="1"/>
  <c r="AB276" i="4" s="1"/>
  <c r="AB277" i="4" s="1"/>
  <c r="AB278" i="4" s="1"/>
  <c r="AB279" i="4" s="1"/>
  <c r="AB280" i="4" s="1"/>
  <c r="AB281" i="4" s="1"/>
  <c r="AB282" i="4" s="1"/>
  <c r="AB283" i="4" s="1"/>
  <c r="AB284" i="4" s="1"/>
  <c r="AB285" i="4" s="1"/>
  <c r="AB286" i="4" s="1"/>
  <c r="AB287" i="4" s="1"/>
  <c r="AB288" i="4" s="1"/>
  <c r="AB289" i="4" s="1"/>
  <c r="AB290" i="4" s="1"/>
  <c r="AB291" i="4" s="1"/>
  <c r="AB292" i="4" s="1"/>
  <c r="AB293" i="4" s="1"/>
  <c r="AB294" i="4" s="1"/>
  <c r="AB295" i="4" s="1"/>
  <c r="AB296" i="4" s="1"/>
  <c r="AB297" i="4" s="1"/>
  <c r="AB298" i="4" s="1"/>
  <c r="AB299" i="4" s="1"/>
  <c r="AB300" i="4" s="1"/>
  <c r="AB301" i="4" s="1"/>
  <c r="AB302" i="4" s="1"/>
  <c r="AB303" i="4" s="1"/>
  <c r="AB304" i="4" s="1"/>
  <c r="AB305" i="4" s="1"/>
  <c r="AB306" i="4" s="1"/>
  <c r="AB307" i="4" s="1"/>
  <c r="AB308" i="4" s="1"/>
  <c r="AB309" i="4" s="1"/>
  <c r="AB310" i="4" s="1"/>
  <c r="AB311" i="4" s="1"/>
  <c r="AB312" i="4" s="1"/>
  <c r="AB313" i="4" s="1"/>
  <c r="AB314" i="4" s="1"/>
  <c r="AB315" i="4" s="1"/>
  <c r="AB316" i="4" s="1"/>
  <c r="AB317" i="4" s="1"/>
  <c r="AB318" i="4" s="1"/>
  <c r="AB319" i="4" s="1"/>
  <c r="AB320" i="4" s="1"/>
  <c r="AB321" i="4" s="1"/>
  <c r="AB322" i="4" s="1"/>
  <c r="AB323" i="4" s="1"/>
  <c r="AB324" i="4" s="1"/>
  <c r="AB325" i="4" s="1"/>
  <c r="AB326" i="4" s="1"/>
  <c r="AB327" i="4" s="1"/>
  <c r="AB328" i="4" s="1"/>
  <c r="AB329" i="4" s="1"/>
  <c r="AB330" i="4" s="1"/>
  <c r="AB331" i="4" s="1"/>
  <c r="AB332" i="4" s="1"/>
  <c r="AB333" i="4" s="1"/>
  <c r="AB334" i="4" s="1"/>
  <c r="AB335" i="4" s="1"/>
  <c r="AB336" i="4" s="1"/>
  <c r="AB337" i="4" s="1"/>
  <c r="AB338" i="4" s="1"/>
  <c r="AB339" i="4" s="1"/>
  <c r="AB340" i="4" s="1"/>
  <c r="AB341" i="4" s="1"/>
  <c r="AB342" i="4" s="1"/>
  <c r="AB343" i="4" s="1"/>
  <c r="AB344" i="4" s="1"/>
  <c r="AB345" i="4" s="1"/>
  <c r="AB346" i="4" s="1"/>
  <c r="AB347" i="4" s="1"/>
  <c r="AB348" i="4" s="1"/>
  <c r="AB349" i="4" s="1"/>
  <c r="AB350" i="4" s="1"/>
  <c r="AB351" i="4" s="1"/>
  <c r="AB352" i="4" s="1"/>
  <c r="AB353" i="4" s="1"/>
  <c r="AB354" i="4" s="1"/>
  <c r="AB355" i="4" s="1"/>
  <c r="AB356" i="4" s="1"/>
  <c r="AB357" i="4" s="1"/>
  <c r="AB358" i="4" s="1"/>
  <c r="AB359" i="4" s="1"/>
  <c r="AB360" i="4" s="1"/>
  <c r="AB361" i="4" s="1"/>
  <c r="AB362" i="4" s="1"/>
  <c r="AB363" i="4" s="1"/>
  <c r="AB364" i="4" s="1"/>
  <c r="AB365" i="4" s="1"/>
  <c r="AB366" i="4" s="1"/>
  <c r="AB367" i="4" s="1"/>
  <c r="AB368" i="4" s="1"/>
  <c r="AB369" i="4" s="1"/>
  <c r="AB370" i="4" s="1"/>
  <c r="AB371" i="4" s="1"/>
  <c r="AB372" i="4" s="1"/>
  <c r="AB373" i="4" s="1"/>
  <c r="AB374" i="4" s="1"/>
  <c r="AB375" i="4" s="1"/>
  <c r="AB376" i="4" s="1"/>
  <c r="AB377" i="4" s="1"/>
  <c r="AB378" i="4" s="1"/>
  <c r="AB379" i="4" s="1"/>
  <c r="AB380" i="4" s="1"/>
  <c r="AB381" i="4" s="1"/>
  <c r="AB382" i="4" s="1"/>
  <c r="AB383" i="4" s="1"/>
  <c r="AB384" i="4" s="1"/>
  <c r="AB385" i="4" s="1"/>
  <c r="AB386" i="4" s="1"/>
  <c r="AB387" i="4" s="1"/>
  <c r="AB388" i="4" s="1"/>
  <c r="AB389" i="4" s="1"/>
  <c r="AB390" i="4" s="1"/>
  <c r="AB391" i="4" s="1"/>
  <c r="AB392" i="4" s="1"/>
  <c r="AB393" i="4" s="1"/>
  <c r="AB394" i="4" s="1"/>
  <c r="AB395" i="4" s="1"/>
  <c r="AB396" i="4" s="1"/>
  <c r="AB397" i="4" s="1"/>
  <c r="AB398" i="4" s="1"/>
  <c r="AB399" i="4" s="1"/>
  <c r="AB400" i="4" s="1"/>
  <c r="AB401" i="4" s="1"/>
  <c r="AB402" i="4" s="1"/>
  <c r="AB403" i="4" s="1"/>
  <c r="AB404" i="4" s="1"/>
  <c r="AB405" i="4" s="1"/>
  <c r="AB406" i="4" s="1"/>
  <c r="AB407" i="4" s="1"/>
  <c r="AB408" i="4" s="1"/>
  <c r="AB409" i="4" s="1"/>
  <c r="AB410" i="4" s="1"/>
  <c r="AB411" i="4" s="1"/>
  <c r="AB412" i="4" s="1"/>
  <c r="AB413" i="4" s="1"/>
  <c r="AB414" i="4" s="1"/>
  <c r="AB415" i="4" s="1"/>
  <c r="AB416" i="4" s="1"/>
  <c r="AB417" i="4" s="1"/>
  <c r="AB418" i="4" s="1"/>
  <c r="AB419" i="4" s="1"/>
  <c r="AB420" i="4" s="1"/>
  <c r="AB421" i="4" s="1"/>
  <c r="AB422" i="4" s="1"/>
  <c r="AB423" i="4" s="1"/>
  <c r="AB424" i="4" s="1"/>
  <c r="AB425" i="4" s="1"/>
  <c r="AB426" i="4" s="1"/>
  <c r="AB427" i="4" s="1"/>
  <c r="AB428" i="4" s="1"/>
  <c r="AB429" i="4" s="1"/>
  <c r="AB430" i="4" s="1"/>
  <c r="AB431" i="4" s="1"/>
  <c r="AB432" i="4" s="1"/>
  <c r="AB433" i="4" s="1"/>
  <c r="AB434" i="4" s="1"/>
  <c r="AB435" i="4" s="1"/>
  <c r="AB436" i="4" s="1"/>
  <c r="AB437" i="4" s="1"/>
  <c r="AB438" i="4" s="1"/>
  <c r="AB439" i="4" s="1"/>
  <c r="X75" i="4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X256" i="4" s="1"/>
  <c r="X257" i="4" s="1"/>
  <c r="X258" i="4" s="1"/>
  <c r="X259" i="4" s="1"/>
  <c r="X260" i="4" s="1"/>
  <c r="X261" i="4" s="1"/>
  <c r="X262" i="4" s="1"/>
  <c r="X263" i="4" s="1"/>
  <c r="X264" i="4" s="1"/>
  <c r="X265" i="4" s="1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  <c r="X279" i="4" s="1"/>
  <c r="X280" i="4" s="1"/>
  <c r="X281" i="4" s="1"/>
  <c r="X282" i="4" s="1"/>
  <c r="X283" i="4" s="1"/>
  <c r="X284" i="4" s="1"/>
  <c r="X285" i="4" s="1"/>
  <c r="X286" i="4" s="1"/>
  <c r="X287" i="4" s="1"/>
  <c r="X288" i="4" s="1"/>
  <c r="X289" i="4" s="1"/>
  <c r="X290" i="4" s="1"/>
  <c r="X291" i="4" s="1"/>
  <c r="X292" i="4" s="1"/>
  <c r="X293" i="4" s="1"/>
  <c r="X294" i="4" s="1"/>
  <c r="X295" i="4" s="1"/>
  <c r="X296" i="4" s="1"/>
  <c r="X297" i="4" s="1"/>
  <c r="X298" i="4" s="1"/>
  <c r="X299" i="4" s="1"/>
  <c r="X300" i="4" s="1"/>
  <c r="X301" i="4" s="1"/>
  <c r="X302" i="4" s="1"/>
  <c r="X303" i="4" s="1"/>
  <c r="X304" i="4" s="1"/>
  <c r="X305" i="4" s="1"/>
  <c r="X306" i="4" s="1"/>
  <c r="X307" i="4" s="1"/>
  <c r="X308" i="4" s="1"/>
  <c r="X309" i="4" s="1"/>
  <c r="X310" i="4" s="1"/>
  <c r="X311" i="4" s="1"/>
  <c r="X312" i="4" s="1"/>
  <c r="X313" i="4" s="1"/>
  <c r="X314" i="4" s="1"/>
  <c r="X315" i="4" s="1"/>
  <c r="X316" i="4" s="1"/>
  <c r="X317" i="4" s="1"/>
  <c r="X318" i="4" s="1"/>
  <c r="X319" i="4" s="1"/>
  <c r="X320" i="4" s="1"/>
  <c r="X321" i="4" s="1"/>
  <c r="X322" i="4" s="1"/>
  <c r="X323" i="4" s="1"/>
  <c r="X324" i="4" s="1"/>
  <c r="X325" i="4" s="1"/>
  <c r="X326" i="4" s="1"/>
  <c r="X327" i="4" s="1"/>
  <c r="X328" i="4" s="1"/>
  <c r="X329" i="4" s="1"/>
  <c r="X330" i="4" s="1"/>
  <c r="X331" i="4" s="1"/>
  <c r="X332" i="4" s="1"/>
  <c r="X333" i="4" s="1"/>
  <c r="X334" i="4" s="1"/>
  <c r="X335" i="4" s="1"/>
  <c r="X336" i="4" s="1"/>
  <c r="X337" i="4" s="1"/>
  <c r="X338" i="4" s="1"/>
  <c r="X339" i="4" s="1"/>
  <c r="X340" i="4" s="1"/>
  <c r="X341" i="4" s="1"/>
  <c r="X342" i="4" s="1"/>
  <c r="X343" i="4" s="1"/>
  <c r="X344" i="4" s="1"/>
  <c r="X345" i="4" s="1"/>
  <c r="X346" i="4" s="1"/>
  <c r="X347" i="4" s="1"/>
  <c r="X348" i="4" s="1"/>
  <c r="X349" i="4" s="1"/>
  <c r="X350" i="4" s="1"/>
  <c r="X351" i="4" s="1"/>
  <c r="X352" i="4" s="1"/>
  <c r="X353" i="4" s="1"/>
  <c r="X354" i="4" s="1"/>
  <c r="X355" i="4" s="1"/>
  <c r="X356" i="4" s="1"/>
  <c r="X357" i="4" s="1"/>
  <c r="X358" i="4" s="1"/>
  <c r="X359" i="4" s="1"/>
  <c r="X360" i="4" s="1"/>
  <c r="X361" i="4" s="1"/>
  <c r="X362" i="4" s="1"/>
  <c r="X363" i="4" s="1"/>
  <c r="X364" i="4" s="1"/>
  <c r="X365" i="4" s="1"/>
  <c r="X366" i="4" s="1"/>
  <c r="X367" i="4" s="1"/>
  <c r="X368" i="4" s="1"/>
  <c r="X369" i="4" s="1"/>
  <c r="X370" i="4" s="1"/>
  <c r="X371" i="4" s="1"/>
  <c r="X372" i="4" s="1"/>
  <c r="X373" i="4" s="1"/>
  <c r="X374" i="4" s="1"/>
  <c r="X375" i="4" s="1"/>
  <c r="X376" i="4" s="1"/>
  <c r="X377" i="4" s="1"/>
  <c r="X378" i="4" s="1"/>
  <c r="X379" i="4" s="1"/>
  <c r="X380" i="4" s="1"/>
  <c r="X381" i="4" s="1"/>
  <c r="X382" i="4" s="1"/>
  <c r="X383" i="4" s="1"/>
  <c r="X384" i="4" s="1"/>
  <c r="X385" i="4" s="1"/>
  <c r="X386" i="4" s="1"/>
  <c r="X387" i="4" s="1"/>
  <c r="X388" i="4" s="1"/>
  <c r="X389" i="4" s="1"/>
  <c r="X390" i="4" s="1"/>
  <c r="X391" i="4" s="1"/>
  <c r="X392" i="4" s="1"/>
  <c r="X393" i="4" s="1"/>
  <c r="X394" i="4" s="1"/>
  <c r="X395" i="4" s="1"/>
  <c r="X396" i="4" s="1"/>
  <c r="X397" i="4" s="1"/>
  <c r="X398" i="4" s="1"/>
  <c r="X399" i="4" s="1"/>
  <c r="X400" i="4" s="1"/>
  <c r="X401" i="4" s="1"/>
  <c r="X402" i="4" s="1"/>
  <c r="X403" i="4" s="1"/>
  <c r="X404" i="4" s="1"/>
  <c r="X405" i="4" s="1"/>
  <c r="X406" i="4" s="1"/>
  <c r="X407" i="4" s="1"/>
  <c r="X408" i="4" s="1"/>
  <c r="X409" i="4" s="1"/>
  <c r="X410" i="4" s="1"/>
  <c r="X411" i="4" s="1"/>
  <c r="X412" i="4" s="1"/>
  <c r="X413" i="4" s="1"/>
  <c r="X414" i="4" s="1"/>
  <c r="X415" i="4" s="1"/>
  <c r="X416" i="4" s="1"/>
  <c r="X417" i="4" s="1"/>
  <c r="X418" i="4" s="1"/>
  <c r="X419" i="4" s="1"/>
  <c r="X420" i="4" s="1"/>
  <c r="X421" i="4" s="1"/>
  <c r="X422" i="4" s="1"/>
  <c r="X423" i="4" s="1"/>
  <c r="X424" i="4" s="1"/>
  <c r="X425" i="4" s="1"/>
  <c r="X426" i="4" s="1"/>
  <c r="X427" i="4" s="1"/>
  <c r="X428" i="4" s="1"/>
  <c r="X429" i="4" s="1"/>
  <c r="X430" i="4" s="1"/>
  <c r="X431" i="4" s="1"/>
  <c r="X432" i="4" s="1"/>
  <c r="X433" i="4" s="1"/>
  <c r="X434" i="4" s="1"/>
  <c r="X435" i="4" s="1"/>
  <c r="X436" i="4" s="1"/>
  <c r="X437" i="4" s="1"/>
  <c r="X438" i="4" s="1"/>
  <c r="X439" i="4" s="1"/>
  <c r="F39" i="2"/>
  <c r="F42" i="2"/>
  <c r="AA167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AF75" i="4"/>
  <c r="AF76" i="4" s="1"/>
  <c r="AF77" i="4" s="1"/>
  <c r="AF78" i="4" s="1"/>
  <c r="AF79" i="4" s="1"/>
  <c r="AF80" i="4" s="1"/>
  <c r="AF81" i="4" s="1"/>
  <c r="AF82" i="4" s="1"/>
  <c r="AF83" i="4" s="1"/>
  <c r="AF84" i="4" s="1"/>
  <c r="AF85" i="4" s="1"/>
  <c r="C9" i="3"/>
  <c r="J5" i="2"/>
  <c r="N3" i="2"/>
  <c r="R3" i="2"/>
  <c r="J22" i="2"/>
  <c r="N22" i="2"/>
  <c r="T121" i="2"/>
  <c r="T118" i="2"/>
  <c r="W59" i="2"/>
  <c r="W52" i="2"/>
  <c r="V42" i="2"/>
  <c r="K3" i="2"/>
  <c r="X5" i="2" l="1"/>
  <c r="B31" i="1"/>
  <c r="B15" i="1"/>
  <c r="B16" i="1"/>
  <c r="K22" i="2"/>
  <c r="B22" i="1"/>
  <c r="B23" i="1"/>
  <c r="B26" i="1"/>
  <c r="B18" i="1"/>
  <c r="B14" i="1"/>
  <c r="B19" i="1"/>
  <c r="B27" i="1"/>
  <c r="C16" i="1"/>
  <c r="B20" i="1"/>
  <c r="B24" i="1"/>
  <c r="B28" i="1"/>
  <c r="C14" i="1"/>
  <c r="B17" i="1"/>
  <c r="B21" i="1"/>
  <c r="B25" i="1"/>
  <c r="B29" i="1"/>
  <c r="B30" i="1"/>
  <c r="R22" i="2"/>
  <c r="Q111" i="2"/>
  <c r="C2" i="2"/>
  <c r="C3" i="2" s="1"/>
  <c r="F2" i="2"/>
  <c r="C8" i="2" s="1"/>
  <c r="G8" i="2" s="1"/>
  <c r="L22" i="2"/>
  <c r="P22" i="2"/>
  <c r="M22" i="2"/>
  <c r="S22" i="2"/>
  <c r="T22" i="2"/>
  <c r="U22" i="2"/>
  <c r="Q22" i="2"/>
  <c r="O22" i="2"/>
  <c r="F40" i="2"/>
  <c r="C31" i="1" s="1"/>
  <c r="T6" i="2"/>
  <c r="G41" i="2"/>
  <c r="C10" i="2" l="1"/>
  <c r="D10" i="2" s="1"/>
  <c r="J4" i="2"/>
  <c r="P8" i="2" s="1"/>
  <c r="J17" i="2" s="1"/>
  <c r="C9" i="2"/>
  <c r="E8" i="2"/>
  <c r="D8" i="2"/>
  <c r="F8" i="2"/>
  <c r="J3" i="2"/>
  <c r="P6" i="2" s="1"/>
  <c r="P7" i="2" s="1"/>
  <c r="T49" i="2"/>
  <c r="W49" i="2" s="1"/>
  <c r="N113" i="2"/>
  <c r="D14" i="1" s="1"/>
  <c r="B5" i="2"/>
  <c r="K114" i="2"/>
  <c r="B13" i="1" l="1"/>
  <c r="K11" i="2"/>
  <c r="J11" i="2" s="1"/>
  <c r="E10" i="2"/>
  <c r="Q8" i="2"/>
  <c r="F10" i="2"/>
  <c r="G10" i="2"/>
  <c r="R49" i="2"/>
  <c r="I1" i="2"/>
  <c r="E9" i="2"/>
  <c r="D9" i="2"/>
  <c r="D11" i="2" s="1"/>
  <c r="F9" i="2"/>
  <c r="G9" i="2"/>
  <c r="J15" i="2"/>
  <c r="Q6" i="2"/>
  <c r="Q17" i="2"/>
  <c r="U17" i="2"/>
  <c r="K17" i="2"/>
  <c r="T17" i="2"/>
  <c r="R17" i="2"/>
  <c r="O17" i="2"/>
  <c r="L17" i="2"/>
  <c r="S17" i="2"/>
  <c r="P17" i="2"/>
  <c r="N17" i="2"/>
  <c r="M17" i="2"/>
  <c r="Q7" i="2"/>
  <c r="J16" i="2"/>
  <c r="J25" i="2" l="1"/>
  <c r="U25" i="2" s="1"/>
  <c r="E11" i="2"/>
  <c r="C21" i="2" s="1"/>
  <c r="F11" i="2"/>
  <c r="C18" i="2" s="1"/>
  <c r="G11" i="2"/>
  <c r="C15" i="2" s="1"/>
  <c r="E15" i="2" s="1"/>
  <c r="K15" i="2"/>
  <c r="R15" i="2"/>
  <c r="O15" i="2"/>
  <c r="S15" i="2"/>
  <c r="P15" i="2"/>
  <c r="N15" i="2"/>
  <c r="M15" i="2"/>
  <c r="Q15" i="2"/>
  <c r="L15" i="2"/>
  <c r="T15" i="2"/>
  <c r="U15" i="2"/>
  <c r="L16" i="2"/>
  <c r="U16" i="2"/>
  <c r="P16" i="2"/>
  <c r="S16" i="2"/>
  <c r="Q16" i="2"/>
  <c r="K16" i="2"/>
  <c r="O16" i="2"/>
  <c r="T16" i="2"/>
  <c r="M16" i="2"/>
  <c r="R16" i="2"/>
  <c r="N16" i="2"/>
  <c r="P25" i="2" l="1"/>
  <c r="Q25" i="2"/>
  <c r="N25" i="2"/>
  <c r="O25" i="2"/>
  <c r="R25" i="2"/>
  <c r="S25" i="2"/>
  <c r="J26" i="2"/>
  <c r="S26" i="2" s="1"/>
  <c r="J24" i="2"/>
  <c r="O24" i="2" s="1"/>
  <c r="C17" i="2"/>
  <c r="F17" i="2" s="1"/>
  <c r="C22" i="2"/>
  <c r="F22" i="2" s="1"/>
  <c r="C19" i="2"/>
  <c r="D19" i="2" s="1"/>
  <c r="C20" i="2"/>
  <c r="F20" i="2" s="1"/>
  <c r="C16" i="2"/>
  <c r="D16" i="2" s="1"/>
  <c r="F45" i="2"/>
  <c r="D21" i="2"/>
  <c r="F21" i="2"/>
  <c r="E21" i="2"/>
  <c r="D15" i="2"/>
  <c r="F15" i="2"/>
  <c r="F18" i="2"/>
  <c r="E18" i="2"/>
  <c r="D18" i="2"/>
  <c r="R26" i="2" l="1"/>
  <c r="Q26" i="2"/>
  <c r="O26" i="2"/>
  <c r="U26" i="2"/>
  <c r="N26" i="2"/>
  <c r="P26" i="2"/>
  <c r="R24" i="2"/>
  <c r="S24" i="2"/>
  <c r="U24" i="2"/>
  <c r="Q24" i="2"/>
  <c r="N24" i="2"/>
  <c r="P24" i="2"/>
  <c r="E17" i="2"/>
  <c r="D17" i="2"/>
  <c r="E22" i="2"/>
  <c r="E19" i="2"/>
  <c r="F19" i="2"/>
  <c r="D22" i="2"/>
  <c r="D20" i="2"/>
  <c r="E20" i="2"/>
  <c r="E16" i="2"/>
  <c r="F16" i="2"/>
  <c r="G15" i="2"/>
  <c r="G18" i="2"/>
  <c r="G21" i="2"/>
  <c r="G17" i="2" l="1"/>
  <c r="G22" i="2"/>
  <c r="G19" i="2"/>
  <c r="G20" i="2"/>
  <c r="G16" i="2"/>
  <c r="D25" i="2" l="1"/>
  <c r="D26" i="2" s="1"/>
  <c r="D40" i="2" s="1"/>
  <c r="E40" i="2" s="1"/>
  <c r="D87" i="2" l="1"/>
  <c r="D46" i="2"/>
  <c r="D47" i="2" s="1"/>
  <c r="D48" i="2" s="1"/>
  <c r="D43" i="2"/>
  <c r="D44" i="2" s="1"/>
  <c r="D45" i="2" s="1"/>
  <c r="D30" i="2"/>
  <c r="C27" i="2" s="1"/>
  <c r="D27" i="2" l="1"/>
  <c r="D31" i="2" s="1"/>
  <c r="D28" i="2" s="1"/>
  <c r="D32" i="2" s="1"/>
  <c r="C28" i="2" l="1"/>
  <c r="D29" i="2" s="1"/>
  <c r="V194" i="4" s="1"/>
  <c r="V196" i="4" s="1"/>
  <c r="C4" i="3" l="1"/>
  <c r="C12" i="3" s="1"/>
  <c r="V197" i="4"/>
  <c r="D33" i="2" s="1"/>
  <c r="D36" i="2" s="1"/>
  <c r="E35" i="2" l="1"/>
  <c r="D35" i="2"/>
  <c r="D37" i="2" s="1"/>
  <c r="E33" i="2" s="1"/>
  <c r="E34" i="2" s="1"/>
  <c r="C18" i="3"/>
  <c r="C20" i="3"/>
  <c r="C17" i="3"/>
  <c r="C11" i="3"/>
  <c r="C7" i="3"/>
  <c r="C13" i="3"/>
  <c r="C16" i="3"/>
  <c r="C10" i="3"/>
  <c r="C14" i="3"/>
  <c r="C8" i="3"/>
  <c r="C3" i="3"/>
  <c r="D34" i="2"/>
  <c r="E29" i="2" l="1"/>
  <c r="E36" i="2" s="1"/>
  <c r="D38" i="2"/>
  <c r="C2" i="3" s="1"/>
  <c r="C6" i="3" s="1"/>
  <c r="C19" i="3" s="1"/>
  <c r="C15" i="3"/>
  <c r="C21" i="3" l="1"/>
  <c r="C22" i="3" s="1"/>
  <c r="D39" i="2" s="1"/>
  <c r="D41" i="2" s="1"/>
  <c r="E41" i="2" l="1"/>
  <c r="D42" i="2"/>
  <c r="E25" i="2" l="1"/>
  <c r="E26" i="2" s="1"/>
  <c r="J115" i="2"/>
  <c r="E42" i="2"/>
  <c r="E43" i="2" l="1"/>
  <c r="E44" i="2" s="1"/>
  <c r="F44" i="2" s="1"/>
  <c r="F46" i="2" s="1"/>
  <c r="F47" i="2" s="1"/>
  <c r="F48" i="2" s="1"/>
  <c r="P9" i="2" s="1"/>
  <c r="J18" i="2" s="1"/>
  <c r="Q18" i="2" s="1"/>
  <c r="E46" i="2"/>
  <c r="E47" i="2" s="1"/>
  <c r="E48" i="2" s="1"/>
  <c r="E30" i="2"/>
  <c r="E27" i="2" s="1"/>
  <c r="K115" i="2"/>
  <c r="N115" i="2" s="1"/>
  <c r="D16" i="1" s="1"/>
  <c r="U18" i="2" l="1"/>
  <c r="K18" i="2"/>
  <c r="K23" i="2" s="1"/>
  <c r="K27" i="2" s="1"/>
  <c r="O18" i="2"/>
  <c r="E31" i="2"/>
  <c r="E28" i="2" s="1"/>
  <c r="E32" i="2" s="1"/>
  <c r="E37" i="2" s="1"/>
  <c r="F26" i="2" s="1"/>
  <c r="F27" i="2" s="1"/>
  <c r="M18" i="2"/>
  <c r="M23" i="2" s="1"/>
  <c r="M27" i="2" s="1"/>
  <c r="S18" i="2"/>
  <c r="P18" i="2"/>
  <c r="T18" i="2"/>
  <c r="T23" i="2" s="1"/>
  <c r="T27" i="2" s="1"/>
  <c r="L18" i="2"/>
  <c r="L23" i="2" s="1"/>
  <c r="L27" i="2" s="1"/>
  <c r="Q9" i="2"/>
  <c r="Q10" i="2" s="1"/>
  <c r="T4" i="2" s="1"/>
  <c r="T5" i="2" s="1"/>
  <c r="T7" i="2" s="1"/>
  <c r="R18" i="2"/>
  <c r="N18" i="2"/>
  <c r="E45" i="2"/>
  <c r="E38" i="2" l="1"/>
  <c r="T8" i="2" s="1"/>
  <c r="F29" i="2"/>
  <c r="N114" i="2" l="1"/>
  <c r="D15" i="1" s="1"/>
  <c r="T9" i="2"/>
  <c r="T10" i="2" s="1"/>
  <c r="T11" i="2" s="1"/>
  <c r="J21" i="2" l="1"/>
  <c r="N21" i="2" s="1"/>
  <c r="J19" i="2"/>
  <c r="N19" i="2" s="1"/>
  <c r="J20" i="2"/>
  <c r="R20" i="2" s="1"/>
  <c r="R21" i="2" l="1"/>
  <c r="P21" i="2"/>
  <c r="O21" i="2"/>
  <c r="S21" i="2"/>
  <c r="Q21" i="2"/>
  <c r="U21" i="2"/>
  <c r="N20" i="2"/>
  <c r="N23" i="2" s="1"/>
  <c r="N27" i="2" s="1"/>
  <c r="P20" i="2"/>
  <c r="S19" i="2"/>
  <c r="U20" i="2"/>
  <c r="S20" i="2"/>
  <c r="Q20" i="2"/>
  <c r="O20" i="2"/>
  <c r="O19" i="2"/>
  <c r="R19" i="2"/>
  <c r="P19" i="2"/>
  <c r="U19" i="2"/>
  <c r="Q19" i="2"/>
  <c r="R23" i="2" l="1"/>
  <c r="R27" i="2" s="1"/>
  <c r="M65" i="2" s="1"/>
  <c r="O65" i="2" s="1"/>
  <c r="P23" i="2"/>
  <c r="P27" i="2" s="1"/>
  <c r="S23" i="2"/>
  <c r="S27" i="2" s="1"/>
  <c r="M87" i="2" s="1"/>
  <c r="O87" i="2" s="1"/>
  <c r="Q23" i="2"/>
  <c r="Q27" i="2" s="1"/>
  <c r="U23" i="2"/>
  <c r="U27" i="2" s="1"/>
  <c r="O23" i="2"/>
  <c r="O27" i="2" s="1"/>
  <c r="M44" i="2" s="1"/>
  <c r="O44" i="2" s="1"/>
  <c r="S65" i="2" l="1"/>
  <c r="M73" i="2"/>
  <c r="S73" i="2" s="1"/>
  <c r="M74" i="2"/>
  <c r="S74" i="2" s="1"/>
  <c r="M63" i="2"/>
  <c r="O63" i="2" s="1"/>
  <c r="P63" i="2" s="1"/>
  <c r="R63" i="2" s="1"/>
  <c r="M62" i="2"/>
  <c r="O62" i="2" s="1"/>
  <c r="Q62" i="2" s="1"/>
  <c r="M68" i="2"/>
  <c r="O68" i="2" s="1"/>
  <c r="Q68" i="2" s="1"/>
  <c r="M76" i="2"/>
  <c r="O76" i="2" s="1"/>
  <c r="Q76" i="2" s="1"/>
  <c r="M85" i="2"/>
  <c r="O85" i="2" s="1"/>
  <c r="P85" i="2" s="1"/>
  <c r="R85" i="2" s="1"/>
  <c r="M60" i="2"/>
  <c r="O60" i="2" s="1"/>
  <c r="Q60" i="2" s="1"/>
  <c r="M43" i="2"/>
  <c r="S43" i="2" s="1"/>
  <c r="S44" i="2"/>
  <c r="M33" i="2"/>
  <c r="O33" i="2" s="1"/>
  <c r="P33" i="2" s="1"/>
  <c r="R33" i="2" s="1"/>
  <c r="M67" i="2"/>
  <c r="S67" i="2" s="1"/>
  <c r="M61" i="2"/>
  <c r="S61" i="2" s="1"/>
  <c r="M66" i="2"/>
  <c r="S66" i="2" s="1"/>
  <c r="M86" i="2"/>
  <c r="O86" i="2" s="1"/>
  <c r="Q86" i="2" s="1"/>
  <c r="M88" i="2"/>
  <c r="O88" i="2" s="1"/>
  <c r="Q88" i="2" s="1"/>
  <c r="M75" i="2"/>
  <c r="M64" i="2"/>
  <c r="S64" i="2" s="1"/>
  <c r="M34" i="2"/>
  <c r="S34" i="2" s="1"/>
  <c r="S87" i="2"/>
  <c r="P44" i="2"/>
  <c r="R44" i="2" s="1"/>
  <c r="Q44" i="2"/>
  <c r="P65" i="2"/>
  <c r="R65" i="2" s="1"/>
  <c r="Q65" i="2"/>
  <c r="P87" i="2"/>
  <c r="R87" i="2" s="1"/>
  <c r="Q87" i="2"/>
  <c r="O74" i="2" l="1"/>
  <c r="Q74" i="2" s="1"/>
  <c r="O73" i="2"/>
  <c r="Q73" i="2" s="1"/>
  <c r="S60" i="2"/>
  <c r="S63" i="2"/>
  <c r="Q63" i="2"/>
  <c r="P68" i="2"/>
  <c r="R68" i="2" s="1"/>
  <c r="O43" i="2"/>
  <c r="P43" i="2" s="1"/>
  <c r="R43" i="2" s="1"/>
  <c r="P62" i="2"/>
  <c r="R62" i="2" s="1"/>
  <c r="S68" i="2"/>
  <c r="S62" i="2"/>
  <c r="S86" i="2"/>
  <c r="P76" i="2"/>
  <c r="R76" i="2" s="1"/>
  <c r="S76" i="2"/>
  <c r="Q85" i="2"/>
  <c r="S85" i="2"/>
  <c r="P60" i="2"/>
  <c r="R60" i="2" s="1"/>
  <c r="P86" i="2"/>
  <c r="R86" i="2" s="1"/>
  <c r="Q33" i="2"/>
  <c r="S33" i="2"/>
  <c r="P88" i="2"/>
  <c r="R88" i="2" s="1"/>
  <c r="S88" i="2"/>
  <c r="O34" i="2"/>
  <c r="P34" i="2" s="1"/>
  <c r="R34" i="2" s="1"/>
  <c r="O67" i="2"/>
  <c r="Q67" i="2" s="1"/>
  <c r="O75" i="2"/>
  <c r="S75" i="2"/>
  <c r="O66" i="2"/>
  <c r="P66" i="2" s="1"/>
  <c r="R66" i="2" s="1"/>
  <c r="O64" i="2"/>
  <c r="P64" i="2" s="1"/>
  <c r="R64" i="2" s="1"/>
  <c r="O61" i="2"/>
  <c r="P61" i="2" s="1"/>
  <c r="R61" i="2" s="1"/>
  <c r="T65" i="2"/>
  <c r="W65" i="2" s="1"/>
  <c r="T44" i="2"/>
  <c r="V44" i="2" s="1"/>
  <c r="T87" i="2"/>
  <c r="P74" i="2" l="1"/>
  <c r="R74" i="2" s="1"/>
  <c r="T74" i="2" s="1"/>
  <c r="T62" i="2"/>
  <c r="W62" i="2" s="1"/>
  <c r="T60" i="2"/>
  <c r="W60" i="2" s="1"/>
  <c r="T63" i="2"/>
  <c r="W63" i="2" s="1"/>
  <c r="P73" i="2"/>
  <c r="R73" i="2" s="1"/>
  <c r="T73" i="2" s="1"/>
  <c r="T68" i="2"/>
  <c r="W68" i="2" s="1"/>
  <c r="Q43" i="2"/>
  <c r="T43" i="2" s="1"/>
  <c r="V43" i="2" s="1"/>
  <c r="Q34" i="2"/>
  <c r="T34" i="2" s="1"/>
  <c r="T86" i="2"/>
  <c r="T76" i="2"/>
  <c r="T85" i="2"/>
  <c r="T88" i="2"/>
  <c r="T33" i="2"/>
  <c r="P67" i="2"/>
  <c r="R67" i="2" s="1"/>
  <c r="T67" i="2" s="1"/>
  <c r="W67" i="2" s="1"/>
  <c r="Q64" i="2"/>
  <c r="T64" i="2" s="1"/>
  <c r="W64" i="2" s="1"/>
  <c r="Q66" i="2"/>
  <c r="T66" i="2" s="1"/>
  <c r="W66" i="2" s="1"/>
  <c r="P75" i="2"/>
  <c r="R75" i="2" s="1"/>
  <c r="Q75" i="2"/>
  <c r="Q61" i="2"/>
  <c r="T61" i="2" s="1"/>
  <c r="W61" i="2" s="1"/>
  <c r="T45" i="2" l="1"/>
  <c r="T47" i="2" s="1"/>
  <c r="T89" i="2"/>
  <c r="T91" i="2" s="1"/>
  <c r="R91" i="2" s="1"/>
  <c r="T35" i="2"/>
  <c r="R35" i="2" s="1"/>
  <c r="T69" i="2"/>
  <c r="R69" i="2" s="1"/>
  <c r="T75" i="2"/>
  <c r="T77" i="2" s="1"/>
  <c r="R77" i="2" s="1"/>
  <c r="V69" i="2"/>
  <c r="V45" i="2" l="1"/>
  <c r="T38" i="2"/>
  <c r="T39" i="2" s="1"/>
  <c r="T48" i="2" s="1"/>
  <c r="T37" i="2"/>
  <c r="R37" i="2" s="1"/>
  <c r="W69" i="2"/>
  <c r="T92" i="2"/>
  <c r="R92" i="2" s="1"/>
  <c r="T79" i="2"/>
  <c r="R79" i="2" s="1"/>
  <c r="J103" i="2"/>
  <c r="J104" i="2" s="1"/>
  <c r="T50" i="2"/>
  <c r="W47" i="2"/>
  <c r="R47" i="2"/>
  <c r="R39" i="2" l="1"/>
  <c r="R38" i="2"/>
  <c r="N128" i="2"/>
  <c r="D29" i="1" s="1"/>
  <c r="T80" i="2"/>
  <c r="R80" i="2" s="1"/>
  <c r="L103" i="2"/>
  <c r="O103" i="2" s="1"/>
  <c r="N120" i="2"/>
  <c r="D21" i="1" s="1"/>
  <c r="R50" i="2"/>
  <c r="W50" i="2"/>
  <c r="T51" i="2"/>
  <c r="R48" i="2"/>
  <c r="W48" i="2"/>
  <c r="T81" i="2" l="1"/>
  <c r="R81" i="2" s="1"/>
  <c r="L104" i="2"/>
  <c r="Q103" i="2"/>
  <c r="R51" i="2"/>
  <c r="W51" i="2"/>
  <c r="T55" i="2"/>
  <c r="T53" i="2"/>
  <c r="P103" i="2"/>
  <c r="P104" i="2" s="1"/>
  <c r="O104" i="2"/>
  <c r="T93" i="2" l="1"/>
  <c r="T95" i="2" s="1"/>
  <c r="T54" i="2"/>
  <c r="R53" i="2"/>
  <c r="W53" i="2"/>
  <c r="N130" i="2"/>
  <c r="D30" i="1" s="1"/>
  <c r="V55" i="2"/>
  <c r="R55" i="2"/>
  <c r="T105" i="2"/>
  <c r="R105" i="2" s="1"/>
  <c r="N125" i="2" s="1"/>
  <c r="D26" i="1" s="1"/>
  <c r="T94" i="2" l="1"/>
  <c r="T98" i="2" s="1"/>
  <c r="R98" i="2" s="1"/>
  <c r="R93" i="2"/>
  <c r="N123" i="2"/>
  <c r="D24" i="1" s="1"/>
  <c r="W55" i="2"/>
  <c r="T111" i="2"/>
  <c r="W54" i="2"/>
  <c r="N116" i="2"/>
  <c r="D17" i="1" s="1"/>
  <c r="R54" i="2"/>
  <c r="S105" i="2"/>
  <c r="R95" i="2"/>
  <c r="T97" i="2"/>
  <c r="N127" i="2" s="1"/>
  <c r="T96" i="2"/>
  <c r="T99" i="2" l="1"/>
  <c r="R99" i="2" s="1"/>
  <c r="T108" i="2"/>
  <c r="R108" i="2" s="1"/>
  <c r="N118" i="2"/>
  <c r="D19" i="1" s="1"/>
  <c r="T107" i="2"/>
  <c r="V110" i="2" s="1"/>
  <c r="R94" i="2"/>
  <c r="M121" i="2"/>
  <c r="K121" i="2"/>
  <c r="L121" i="2"/>
  <c r="R111" i="2"/>
  <c r="N124" i="2"/>
  <c r="D25" i="1" s="1"/>
  <c r="R96" i="2"/>
  <c r="D28" i="1"/>
  <c r="R97" i="2"/>
  <c r="N126" i="2"/>
  <c r="N129" i="2"/>
  <c r="T109" i="2" l="1"/>
  <c r="R109" i="2" s="1"/>
  <c r="T100" i="2"/>
  <c r="R100" i="2" s="1"/>
  <c r="T110" i="2"/>
  <c r="R110" i="2" s="1"/>
  <c r="R107" i="2"/>
  <c r="K122" i="2" s="1"/>
  <c r="N121" i="2"/>
  <c r="D22" i="1" s="1"/>
  <c r="D27" i="1"/>
  <c r="N117" i="2" l="1"/>
  <c r="D18" i="1" s="1"/>
  <c r="T114" i="2"/>
  <c r="N119" i="2"/>
  <c r="D20" i="1" s="1"/>
  <c r="G25" i="2"/>
  <c r="G30" i="2" s="1"/>
  <c r="G27" i="2" s="1"/>
  <c r="G31" i="2" s="1"/>
  <c r="G28" i="2" s="1"/>
  <c r="G32" i="2" s="1"/>
  <c r="G35" i="2" s="1"/>
  <c r="G37" i="2" s="1"/>
  <c r="G26" i="2"/>
  <c r="M122" i="2"/>
  <c r="L122" i="2"/>
  <c r="N122" i="2" l="1"/>
  <c r="D23" i="1" s="1"/>
  <c r="G43" i="2"/>
  <c r="G44" i="2" s="1"/>
  <c r="G45" i="2" s="1"/>
  <c r="G46" i="2"/>
  <c r="G47" i="2" s="1"/>
  <c r="G48" i="2" s="1"/>
  <c r="G33" i="2"/>
  <c r="G34" i="2" s="1"/>
  <c r="G36" i="2" l="1"/>
  <c r="G38" i="2" s="1"/>
  <c r="G29" i="2" l="1"/>
  <c r="F33" i="2" s="1"/>
  <c r="F35" i="2"/>
  <c r="F36" i="2" s="1"/>
  <c r="N131" i="2" l="1"/>
  <c r="D31" i="1" s="1"/>
</calcChain>
</file>

<file path=xl/sharedStrings.xml><?xml version="1.0" encoding="utf-8"?>
<sst xmlns="http://schemas.openxmlformats.org/spreadsheetml/2006/main" count="672" uniqueCount="370">
  <si>
    <t>MAJMU'AH</t>
  </si>
  <si>
    <t>MABSUTHOH</t>
  </si>
  <si>
    <t>BULAN</t>
  </si>
  <si>
    <t>TAHUN HIJRIAH</t>
  </si>
  <si>
    <t>AL - ALAMAH</t>
  </si>
  <si>
    <t>(A)</t>
  </si>
  <si>
    <t>HISSOTUL 'ARDI</t>
  </si>
  <si>
    <t>(F)</t>
  </si>
  <si>
    <t>AL - KHOSSOH</t>
  </si>
  <si>
    <t>(M')</t>
  </si>
  <si>
    <t>AL - MARKAS</t>
  </si>
  <si>
    <t>(M)</t>
  </si>
  <si>
    <t>JUMLAH</t>
  </si>
  <si>
    <t>SYAWWAL</t>
  </si>
  <si>
    <t>جدول الحركات في السنين المجموعة لطلب الإجنماع</t>
  </si>
  <si>
    <t>جدول الحركات في السنين المجموعة لحركات الشمس والقمر على طول سمفانج</t>
  </si>
  <si>
    <t>السنة</t>
  </si>
  <si>
    <t>علامة</t>
  </si>
  <si>
    <t>حصة العرض</t>
  </si>
  <si>
    <t>الخاصة</t>
  </si>
  <si>
    <t>المركز</t>
  </si>
  <si>
    <t>السنة الهجرية</t>
  </si>
  <si>
    <t>العلامة</t>
  </si>
  <si>
    <t>الأيام</t>
  </si>
  <si>
    <t>وسط الشمس</t>
  </si>
  <si>
    <t>خاصتها</t>
  </si>
  <si>
    <t>وسط القمر</t>
  </si>
  <si>
    <t>خاصته</t>
  </si>
  <si>
    <t>البعد</t>
  </si>
  <si>
    <t>الميل الكلى</t>
  </si>
  <si>
    <t>الوقت النجمى</t>
  </si>
  <si>
    <t>سنة مجموعة ميلادية</t>
  </si>
  <si>
    <t>الهجرية</t>
  </si>
  <si>
    <t>A</t>
  </si>
  <si>
    <t>F</t>
  </si>
  <si>
    <t>M'</t>
  </si>
  <si>
    <t>M</t>
  </si>
  <si>
    <t>h</t>
  </si>
  <si>
    <t>p</t>
  </si>
  <si>
    <t>S</t>
  </si>
  <si>
    <t>m</t>
  </si>
  <si>
    <t>N</t>
  </si>
  <si>
    <t>D</t>
  </si>
  <si>
    <t>O</t>
  </si>
  <si>
    <t>ST</t>
  </si>
  <si>
    <t>a. Tahun Majmu'Ah</t>
  </si>
  <si>
    <t>DEKLINASI MATAHARI</t>
  </si>
  <si>
    <t>سنة</t>
  </si>
  <si>
    <t>يوليان</t>
  </si>
  <si>
    <t>TGL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</si>
  <si>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</si>
  <si>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</si>
  <si>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</si>
  <si>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</si>
  <si>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</si>
  <si>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</si>
  <si>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</si>
  <si>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</si>
  <si>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</si>
  <si>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</si>
  <si>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</si>
  <si>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</si>
  <si>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EQUATION OF TIME MATAHARI</t>
  </si>
  <si>
    <t>جدول الحركات في السنين المبسوطة لطلب الإجنماع</t>
  </si>
  <si>
    <t>جدول الحركات في السنين المبسوطة لحركات الشمس والقمر</t>
  </si>
  <si>
    <t>b. Tahun Mabsuthah</t>
  </si>
  <si>
    <t>جدول الحركات في الشهور لطلب الإجنماع</t>
  </si>
  <si>
    <t>جدول الحركات في الشهور لحركات الشمس والقمر</t>
  </si>
  <si>
    <t>الشهور الهجرية</t>
  </si>
  <si>
    <t>URUTAN BULAN HIJRI</t>
  </si>
  <si>
    <t>URUTAN BULAN MILADI</t>
  </si>
  <si>
    <t>جدول الحركات في الأيام لحركات الشمس والقمر</t>
  </si>
  <si>
    <t>Agustus</t>
  </si>
  <si>
    <t>لأيام</t>
  </si>
  <si>
    <t>April</t>
  </si>
  <si>
    <t>Desember</t>
  </si>
  <si>
    <t>Februari</t>
  </si>
  <si>
    <t>Januari</t>
  </si>
  <si>
    <t>Juli</t>
  </si>
  <si>
    <t>Juni</t>
  </si>
  <si>
    <t>Maret</t>
  </si>
  <si>
    <t>Mei</t>
  </si>
  <si>
    <t>November</t>
  </si>
  <si>
    <t>Oktober</t>
  </si>
  <si>
    <t>September</t>
  </si>
  <si>
    <t>Sisa</t>
  </si>
  <si>
    <t>Hari</t>
  </si>
  <si>
    <t>Pasar</t>
  </si>
  <si>
    <t xml:space="preserve">Sabtu </t>
  </si>
  <si>
    <t>Kliwon</t>
  </si>
  <si>
    <t xml:space="preserve">Ahad </t>
  </si>
  <si>
    <t>Legi</t>
  </si>
  <si>
    <t xml:space="preserve">Senin </t>
  </si>
  <si>
    <t>Pahing</t>
  </si>
  <si>
    <t xml:space="preserve">Selasa </t>
  </si>
  <si>
    <t>Pon</t>
  </si>
  <si>
    <t xml:space="preserve">Rabu </t>
  </si>
  <si>
    <t>Wage</t>
  </si>
  <si>
    <t xml:space="preserve">Kamis </t>
  </si>
  <si>
    <t xml:space="preserve">Jum'at </t>
  </si>
  <si>
    <t>MUHARROM</t>
  </si>
  <si>
    <t>SHOFAR</t>
  </si>
  <si>
    <t>ROBI'UL AWAL</t>
  </si>
  <si>
    <t>ROBI'UL AKHIR</t>
  </si>
  <si>
    <t>JUMADAL ULA</t>
  </si>
  <si>
    <t>ROJAB</t>
  </si>
  <si>
    <t>SYA'BAN</t>
  </si>
  <si>
    <t>ROMADLON</t>
  </si>
  <si>
    <t>DZUL QO'DAH</t>
  </si>
  <si>
    <t>DZUL HIJJAH</t>
  </si>
  <si>
    <t>جدول الحركات في الساعة  لحركات الشمس والقمر</t>
  </si>
  <si>
    <t>الساعة</t>
  </si>
  <si>
    <t>جدول الحركات في الدقيقة  لحركات الشمس والقمر</t>
  </si>
  <si>
    <t>الدقيقة</t>
  </si>
  <si>
    <t>شهور ميلادية</t>
  </si>
  <si>
    <t>c. Bulan</t>
  </si>
  <si>
    <t>شهر</t>
  </si>
  <si>
    <t>جدول الحركات في الثانية لحركات الشمس والقمر</t>
  </si>
  <si>
    <t>الثانية</t>
  </si>
  <si>
    <t>Dr</t>
  </si>
  <si>
    <t>تعديل العلامة للإجتماع</t>
  </si>
  <si>
    <t>جدول التعديل لطول الشمس</t>
  </si>
  <si>
    <t>تعديل البعد بين الأرض والشمس</t>
  </si>
  <si>
    <t>تعديل طول القمر</t>
  </si>
  <si>
    <t>تعديل عرض القمر</t>
  </si>
  <si>
    <t>تعديل البعد بين الأرض والقمر</t>
  </si>
  <si>
    <t xml:space="preserve">نور القمر </t>
  </si>
  <si>
    <t>T1</t>
  </si>
  <si>
    <t>T2</t>
  </si>
  <si>
    <t>T3</t>
  </si>
  <si>
    <t>T4</t>
  </si>
  <si>
    <t>T5</t>
  </si>
  <si>
    <t>T6</t>
  </si>
  <si>
    <t>T7</t>
  </si>
  <si>
    <t>T8</t>
  </si>
  <si>
    <t>L1</t>
  </si>
  <si>
    <t>L2</t>
  </si>
  <si>
    <t>R1</t>
  </si>
  <si>
    <t>R2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</si>
  <si>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</si>
  <si>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</si>
  <si>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</si>
  <si>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</si>
  <si>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</si>
  <si>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</si>
  <si>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</si>
  <si>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</si>
  <si>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</si>
  <si>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B1</t>
  </si>
  <si>
    <t>B2</t>
  </si>
  <si>
    <t>B3</t>
  </si>
  <si>
    <t>B4</t>
  </si>
  <si>
    <t>r1</t>
  </si>
  <si>
    <t>r2</t>
  </si>
  <si>
    <t>r3</t>
  </si>
  <si>
    <t>r4</t>
  </si>
  <si>
    <t>NQ</t>
  </si>
  <si>
    <t>AL - KASRU</t>
  </si>
  <si>
    <t>SATAR AWAL</t>
  </si>
  <si>
    <t>SATAR TSANI</t>
  </si>
  <si>
    <t>T</t>
  </si>
  <si>
    <t>T1 + T2 s/d T8</t>
  </si>
  <si>
    <t>A.M.</t>
  </si>
  <si>
    <t>A + T +0,5</t>
  </si>
  <si>
    <t>Majmu'ah</t>
  </si>
  <si>
    <t>Mabsuthoh</t>
  </si>
  <si>
    <t>Depan koma</t>
  </si>
  <si>
    <t xml:space="preserve"> A.M. - 1</t>
  </si>
  <si>
    <t>Jumlah Hari</t>
  </si>
  <si>
    <t>FEBRUARI</t>
  </si>
  <si>
    <t>NOVEMBER</t>
  </si>
  <si>
    <t>Bulan Masehi</t>
  </si>
  <si>
    <t>Tanggal Masehi</t>
  </si>
  <si>
    <t>AHAD</t>
  </si>
  <si>
    <t>SENIN</t>
  </si>
  <si>
    <t>SELASA</t>
  </si>
  <si>
    <t>RABU</t>
  </si>
  <si>
    <t>KAMIS</t>
  </si>
  <si>
    <t>JUM'AT</t>
  </si>
  <si>
    <t>SABTU</t>
  </si>
  <si>
    <t>LEGI</t>
  </si>
  <si>
    <t>PAHING</t>
  </si>
  <si>
    <t>PON</t>
  </si>
  <si>
    <t>WAGE</t>
  </si>
  <si>
    <t>KLIWON</t>
  </si>
  <si>
    <t>HARI</t>
  </si>
  <si>
    <t>LINTANG</t>
  </si>
  <si>
    <t>BUJUR</t>
  </si>
  <si>
    <t>MATAHARI TERBENAM</t>
  </si>
  <si>
    <t>sd</t>
  </si>
  <si>
    <t>Dip</t>
  </si>
  <si>
    <t>JAM GHRB</t>
  </si>
  <si>
    <t>Detik GHRB</t>
  </si>
  <si>
    <t xml:space="preserve">JUMLAH  1 </t>
  </si>
  <si>
    <t>EQ TIME</t>
  </si>
  <si>
    <t>MARKAS</t>
  </si>
  <si>
    <t>Tinggi Tempat</t>
  </si>
  <si>
    <t>Time Zone</t>
  </si>
  <si>
    <t>Delta  T</t>
  </si>
  <si>
    <t>Deklinasi</t>
  </si>
  <si>
    <t>Menit GHRB</t>
  </si>
  <si>
    <t>ET</t>
  </si>
  <si>
    <t>UT</t>
  </si>
  <si>
    <t>WD</t>
  </si>
  <si>
    <t>A.M. + 2</t>
  </si>
  <si>
    <t>PASARAN</t>
  </si>
  <si>
    <t>A.M. + 1</t>
  </si>
  <si>
    <t>Dalil 1 (M)</t>
  </si>
  <si>
    <t>Dalil 8 (2xF-M')</t>
  </si>
  <si>
    <t>Dalil 2 (2xM)</t>
  </si>
  <si>
    <t>Dalil 3 (M')</t>
  </si>
  <si>
    <t>Dalil 4 (2xM')</t>
  </si>
  <si>
    <t>Dalil 5 (M+M')</t>
  </si>
  <si>
    <t>Dalil 6 (M-M')</t>
  </si>
  <si>
    <t>Dalil 7 (2xF)</t>
  </si>
  <si>
    <t>TA'DIL</t>
  </si>
  <si>
    <t>Bulan</t>
  </si>
  <si>
    <t>Khosotuha</t>
  </si>
  <si>
    <t>TAHUN</t>
  </si>
  <si>
    <t>Tambahan Hari</t>
  </si>
  <si>
    <t>SFT Jam</t>
  </si>
  <si>
    <t>SFT Menit</t>
  </si>
  <si>
    <t>SFT Detik</t>
  </si>
  <si>
    <t>EQUAN OF TIME</t>
  </si>
  <si>
    <t>S.F.T.</t>
  </si>
  <si>
    <t>UMUR BULAN KABISAT &amp; BASITHOH</t>
  </si>
  <si>
    <t>JUMLAH  2</t>
  </si>
  <si>
    <t>DALIL</t>
  </si>
  <si>
    <t>RUMUS</t>
  </si>
  <si>
    <t>HAROKAT</t>
  </si>
  <si>
    <t>MADKHUL  1</t>
  </si>
  <si>
    <t>MADKHUL  2</t>
  </si>
  <si>
    <t>SATAR  1</t>
  </si>
  <si>
    <t>SATAR  2</t>
  </si>
  <si>
    <t>DALIL  1</t>
  </si>
  <si>
    <t>DALIL  2</t>
  </si>
  <si>
    <t>2xm</t>
  </si>
  <si>
    <t>BUJUR  MATAHARI / THULUSYSYAMSI (S')</t>
  </si>
  <si>
    <r>
      <t>DEKLINASI  MATAHARI / MAILUSYSYAMSI  (</t>
    </r>
    <r>
      <rPr>
        <b/>
        <sz val="14"/>
        <color rgb="FF000000"/>
        <rFont val="Baskerville Old Face"/>
        <family val="1"/>
      </rPr>
      <t>dm</t>
    </r>
    <r>
      <rPr>
        <b/>
        <sz val="12"/>
        <color rgb="FF000000"/>
        <rFont val="Baskerville Old Face"/>
        <family val="1"/>
      </rPr>
      <t>)</t>
    </r>
  </si>
  <si>
    <t>JARAK BUMI - MATAHARI / AL - BU'DU BAINA 'ARDI WA SYAMSI  (R)</t>
  </si>
  <si>
    <t>GHURUB  MATAHARI  LMT</t>
  </si>
  <si>
    <t>GHURUB  MATAHARI   WD</t>
  </si>
  <si>
    <t>SUDUT  WAKTU  MATAHARI / ZAWIYATU ZAMANISYSYAMSI  (GM)</t>
  </si>
  <si>
    <t>AZIMUT  MATAHARI / SAMTUSYSYAMSI  (azm)</t>
  </si>
  <si>
    <r>
      <t>EQUAN  OF  TIME / PERATA  WAKTU / TA'DIL  WAKTU  (</t>
    </r>
    <r>
      <rPr>
        <b/>
        <sz val="14"/>
        <color rgb="FF000000"/>
        <rFont val="Baskerville Old Face"/>
        <family val="1"/>
      </rPr>
      <t>e</t>
    </r>
    <r>
      <rPr>
        <b/>
        <sz val="12"/>
        <color rgb="FF000000"/>
        <rFont val="Baskerville Old Face"/>
        <family val="1"/>
      </rPr>
      <t>)</t>
    </r>
  </si>
  <si>
    <r>
      <t>KERENDAHAN  UFUQ / INKHIFADUL  UFUQ  (D</t>
    </r>
    <r>
      <rPr>
        <b/>
        <sz val="14"/>
        <color rgb="FF000000"/>
        <rFont val="Baskerville Old Face"/>
        <family val="1"/>
      </rPr>
      <t>ip</t>
    </r>
    <r>
      <rPr>
        <b/>
        <sz val="12"/>
        <color rgb="FF000000"/>
        <rFont val="Baskerville Old Face"/>
        <family val="1"/>
      </rPr>
      <t>)</t>
    </r>
  </si>
  <si>
    <r>
      <t>ALTITUDE  MATAHAERI / IRTIFA'  MATAHARI  (</t>
    </r>
    <r>
      <rPr>
        <b/>
        <sz val="14"/>
        <color rgb="FF000000"/>
        <rFont val="Baskerville Old Face"/>
        <family val="1"/>
      </rPr>
      <t>hm</t>
    </r>
    <r>
      <rPr>
        <b/>
        <sz val="12"/>
        <color rgb="FF000000"/>
        <rFont val="Baskerville Old Face"/>
        <family val="1"/>
      </rPr>
      <t>)</t>
    </r>
  </si>
  <si>
    <r>
      <t>SEMI  DIAMETER  MATAHARI / NISHFU  QUTRISYSYAMSI  (</t>
    </r>
    <r>
      <rPr>
        <b/>
        <sz val="14"/>
        <color rgb="FF000000"/>
        <rFont val="Baskerville Old Face"/>
        <family val="1"/>
      </rPr>
      <t>sd</t>
    </r>
    <r>
      <rPr>
        <b/>
        <sz val="12"/>
        <color rgb="FF000000"/>
        <rFont val="Baskerville Old Face"/>
        <family val="1"/>
      </rPr>
      <t>)</t>
    </r>
  </si>
  <si>
    <t>SUNSET / MATAHARI  TERBENAM / GHURUBUSYSYAMSI  (GRM)</t>
  </si>
  <si>
    <t>D A T A   B U L A N</t>
  </si>
  <si>
    <r>
      <t>BUJUR BULAN / THULULQOMAR  (M</t>
    </r>
    <r>
      <rPr>
        <b/>
        <sz val="14"/>
        <color rgb="FF000000"/>
        <rFont val="Baskerville Old Face"/>
        <family val="1"/>
      </rPr>
      <t>o</t>
    </r>
    <r>
      <rPr>
        <b/>
        <sz val="12"/>
        <color rgb="FF000000"/>
        <rFont val="Baskerville Old Face"/>
        <family val="1"/>
      </rPr>
      <t>)</t>
    </r>
  </si>
  <si>
    <t>DALIL 1</t>
  </si>
  <si>
    <t>DALIL 2</t>
  </si>
  <si>
    <t>DALIL 3</t>
  </si>
  <si>
    <t>DALIL 4</t>
  </si>
  <si>
    <t>DALIL 5</t>
  </si>
  <si>
    <t>DALIL 6</t>
  </si>
  <si>
    <t>DALIL 7</t>
  </si>
  <si>
    <t>DALIL 8</t>
  </si>
  <si>
    <t>DALIL 9</t>
  </si>
  <si>
    <t xml:space="preserve">     Mo  =  M + M1 s/d M9  </t>
  </si>
  <si>
    <t xml:space="preserve">B  =  B1 + B2 + B3 + B4  </t>
  </si>
  <si>
    <r>
      <t>DEKLINASI BULAN / BU'DUL QOMAR  (</t>
    </r>
    <r>
      <rPr>
        <b/>
        <sz val="14"/>
        <color rgb="FF000000"/>
        <rFont val="Baskerville Old Face"/>
        <family val="1"/>
      </rPr>
      <t>dc</t>
    </r>
    <r>
      <rPr>
        <b/>
        <sz val="12"/>
        <color rgb="FF000000"/>
        <rFont val="Baskerville Old Face"/>
        <family val="1"/>
      </rPr>
      <t>)</t>
    </r>
  </si>
  <si>
    <t xml:space="preserve">S' = S + S1 + S2  </t>
  </si>
  <si>
    <t xml:space="preserve">R = 1.00014 + R1 + R2  </t>
  </si>
  <si>
    <r>
      <t>JARAK BUMI - BULAN / AL-BU'DU BAINAL 'ARDI WAL QOMAR  (</t>
    </r>
    <r>
      <rPr>
        <b/>
        <sz val="14"/>
        <color rgb="FF000000"/>
        <rFont val="Baskerville Old Face"/>
        <family val="1"/>
      </rPr>
      <t>r</t>
    </r>
    <r>
      <rPr>
        <b/>
        <sz val="11"/>
        <color rgb="FF000000"/>
        <rFont val="Baskerville Old Face"/>
        <family val="1"/>
      </rPr>
      <t>)</t>
    </r>
  </si>
  <si>
    <t>HORIZONTAL PARALLAX / IKHTILAFU MANDZORIL QOMAR  (Hp)</t>
  </si>
  <si>
    <r>
      <t>SEMI DIAMETER BULAN / NISHFU QUTHRIL QOMAR  (</t>
    </r>
    <r>
      <rPr>
        <b/>
        <sz val="12"/>
        <color rgb="FF000000"/>
        <rFont val="Baskerville Old Face"/>
        <family val="1"/>
      </rPr>
      <t>sdc</t>
    </r>
    <r>
      <rPr>
        <b/>
        <sz val="11"/>
        <color rgb="FF000000"/>
        <rFont val="Baskerville Old Face"/>
        <family val="1"/>
      </rPr>
      <t>)</t>
    </r>
  </si>
  <si>
    <t>SUDUT WAKTU BULAN / ZAWIYATUZZAMANIL QOMAR  (GC)</t>
  </si>
  <si>
    <r>
      <t>AZIMUT BULAN / SAMTUL QOMAR  (</t>
    </r>
    <r>
      <rPr>
        <b/>
        <sz val="12"/>
        <color rgb="FF000000"/>
        <rFont val="Baskerville Old Face"/>
        <family val="1"/>
      </rPr>
      <t>azc</t>
    </r>
    <r>
      <rPr>
        <b/>
        <sz val="11"/>
        <color rgb="FF000000"/>
        <rFont val="Baskerville Old Face"/>
        <family val="1"/>
      </rPr>
      <t>)</t>
    </r>
  </si>
  <si>
    <r>
      <t>JARAK BULAN - MATAHARI / FARQUSSAMTI  (</t>
    </r>
    <r>
      <rPr>
        <b/>
        <sz val="12"/>
        <color rgb="FF000000"/>
        <rFont val="Baskerville Old Face"/>
        <family val="1"/>
      </rPr>
      <t>z</t>
    </r>
    <r>
      <rPr>
        <b/>
        <sz val="11"/>
        <color rgb="FF000000"/>
        <rFont val="Baskerville Old Face"/>
        <family val="1"/>
      </rPr>
      <t>)</t>
    </r>
  </si>
  <si>
    <t>PARALLAX BULAN / IKHTILAFU MANDZOR  (P)</t>
  </si>
  <si>
    <r>
      <t>ALTITUDE BULAN TOPOCENTRIC / IRTIFA'UL QOMAR MAR'I  (</t>
    </r>
    <r>
      <rPr>
        <b/>
        <sz val="12"/>
        <color rgb="FF000000"/>
        <rFont val="Baskerville Old Face"/>
        <family val="1"/>
      </rPr>
      <t>hc'</t>
    </r>
    <r>
      <rPr>
        <b/>
        <sz val="11"/>
        <color rgb="FF000000"/>
        <rFont val="Baskerville Old Face"/>
        <family val="1"/>
      </rPr>
      <t>)</t>
    </r>
  </si>
  <si>
    <r>
      <t>ILLUMINATION / NURUL HILAL  (</t>
    </r>
    <r>
      <rPr>
        <b/>
        <sz val="12"/>
        <color rgb="FF000000"/>
        <rFont val="Baskerville Old Face"/>
        <family val="1"/>
      </rPr>
      <t>nh</t>
    </r>
    <r>
      <rPr>
        <b/>
        <sz val="11"/>
        <color rgb="FF000000"/>
        <rFont val="Baskerville Old Face"/>
        <family val="1"/>
      </rPr>
      <t>)</t>
    </r>
  </si>
  <si>
    <t>d = ELONGASI</t>
  </si>
  <si>
    <t>i</t>
  </si>
  <si>
    <t xml:space="preserve">nh  =  S1 - (S1 - S2) x AL - KASRU  </t>
  </si>
  <si>
    <t>FARQUL IRTIFA' / BEDA TINGGI MATAHARI - HILAL  (Y)</t>
  </si>
  <si>
    <t>BU'DUZZAWIYAH / BEDA JARAK SUDUT MATAHARI - HILAL  (C)</t>
  </si>
  <si>
    <t>GHURUBUL HILAL BITTAQRIB / TERBENAM HILAL TAQRIBI  (GH)</t>
  </si>
  <si>
    <r>
      <t>MUKTSUL HILAL / LAMANYA HILAL DIATAS UFUQ  (</t>
    </r>
    <r>
      <rPr>
        <b/>
        <sz val="12"/>
        <color rgb="FF000000"/>
        <rFont val="Baskerville Old Face"/>
        <family val="1"/>
      </rPr>
      <t>mh</t>
    </r>
    <r>
      <rPr>
        <b/>
        <sz val="11"/>
        <color rgb="FF000000"/>
        <rFont val="Baskerville Old Face"/>
        <family val="1"/>
      </rPr>
      <t>)</t>
    </r>
  </si>
  <si>
    <t>2 x D - A</t>
  </si>
  <si>
    <t>2 x D</t>
  </si>
  <si>
    <t>2 x A</t>
  </si>
  <si>
    <t>2 x N</t>
  </si>
  <si>
    <t>2 x D - 2 x A</t>
  </si>
  <si>
    <t>2 x D - m - A</t>
  </si>
  <si>
    <t>2 x D + A</t>
  </si>
  <si>
    <t>LATITUDE  BULAN / 'ARDUL  QOMAR  (B)</t>
  </si>
  <si>
    <t>A + N</t>
  </si>
  <si>
    <t>A - N</t>
  </si>
  <si>
    <t>2 x D - N</t>
  </si>
  <si>
    <r>
      <t>ALTITUDE BULAN GEOCENTRIC / IRTIFA'UL QOMAR HAKIKI  (</t>
    </r>
    <r>
      <rPr>
        <b/>
        <sz val="12"/>
        <color rgb="FF000000"/>
        <rFont val="Baskerville Old Face"/>
        <family val="1"/>
      </rPr>
      <t>hc</t>
    </r>
    <r>
      <rPr>
        <b/>
        <sz val="11"/>
        <color rgb="FF000000"/>
        <rFont val="Baskerville Old Face"/>
        <family val="1"/>
      </rPr>
      <t>)</t>
    </r>
  </si>
  <si>
    <t xml:space="preserve">r  =  385000.56 + r1 + r2 + r3 + r4  </t>
  </si>
  <si>
    <t xml:space="preserve"> D A T A   M A T A H A R I</t>
  </si>
  <si>
    <r>
      <t>REFRACTION / BIAS CAHAYA / INKISARUSYSYU'A  (R</t>
    </r>
    <r>
      <rPr>
        <b/>
        <sz val="12"/>
        <color rgb="FF000000"/>
        <rFont val="Baskerville Old Face"/>
        <family val="1"/>
      </rPr>
      <t>ef</t>
    </r>
    <r>
      <rPr>
        <b/>
        <sz val="11"/>
        <color rgb="FF000000"/>
        <rFont val="Baskerville Old Face"/>
        <family val="1"/>
      </rPr>
      <t>)</t>
    </r>
  </si>
  <si>
    <t>DZULQO'DAH</t>
  </si>
  <si>
    <t>IF(H42&lt;0,"- ",)&amp;TEXT(ABS(H42/24),"[hh]° mm' ss")</t>
  </si>
  <si>
    <t>M1/S1</t>
  </si>
  <si>
    <t>M1/S2</t>
  </si>
  <si>
    <t>MUHARRAM</t>
  </si>
  <si>
    <t>RABI'UL  AWAL</t>
  </si>
  <si>
    <t>RABI'UL  AKHIR</t>
  </si>
  <si>
    <t>JUMADIL  AWAL</t>
  </si>
  <si>
    <t>RAMADHAN</t>
  </si>
  <si>
    <t>DZULHIJJAH</t>
  </si>
  <si>
    <t>Matahari terbenam</t>
  </si>
  <si>
    <t>Ketinggian Hilal Hakiki</t>
  </si>
  <si>
    <t>Ketinggian Hilal Mar'i</t>
  </si>
  <si>
    <t>Lamanya Hilal di atas ufuq</t>
  </si>
  <si>
    <t>Azimut Matahari</t>
  </si>
  <si>
    <t>Keadaan Hilal</t>
  </si>
  <si>
    <t>Posisi Hilal</t>
  </si>
  <si>
    <t>METODE  "ADDURRUL ANIQ"</t>
  </si>
  <si>
    <t>Letak Matahari terbenam</t>
  </si>
  <si>
    <t xml:space="preserve">Jarak &amp; Letak Hilal dari Matahari </t>
  </si>
  <si>
    <t>Th</t>
  </si>
  <si>
    <t>BLN</t>
  </si>
  <si>
    <t>THN</t>
  </si>
  <si>
    <t>2006  s/d  2050</t>
  </si>
  <si>
    <t>2051  s/d  2150</t>
  </si>
  <si>
    <t>2151  s/d  Seterusnya</t>
  </si>
  <si>
    <t>1987  s/d  2005</t>
  </si>
  <si>
    <t>Hari Bulan</t>
  </si>
  <si>
    <t xml:space="preserve">Tahun  </t>
  </si>
  <si>
    <t>AWAL  BULAN</t>
  </si>
  <si>
    <t>Koreksi WD</t>
  </si>
  <si>
    <t>Tahun</t>
  </si>
  <si>
    <t>Koreksi Awal Bulan</t>
  </si>
  <si>
    <t>HIJRIAH</t>
  </si>
  <si>
    <t>Lebar cahaya Hilal</t>
  </si>
  <si>
    <t>2 x m</t>
  </si>
  <si>
    <t>JAM  IJTIMA'</t>
  </si>
  <si>
    <t>(m)</t>
  </si>
  <si>
    <t>JUMADIL AKHIR</t>
  </si>
  <si>
    <t>UMUR  HILAL</t>
  </si>
  <si>
    <t>Elongasi Hilal</t>
  </si>
  <si>
    <t>Umur Hilal</t>
  </si>
  <si>
    <t xml:space="preserve">Azimut Hilal </t>
  </si>
  <si>
    <t xml:space="preserve">Zona Waktu </t>
  </si>
  <si>
    <t>Hari / Tanggal</t>
  </si>
  <si>
    <t>Plus Hari</t>
  </si>
  <si>
    <t>AKHIR</t>
  </si>
  <si>
    <t>Hilal terbenam</t>
  </si>
  <si>
    <t>JUMADIL  AKHIR</t>
  </si>
  <si>
    <t>ASCENSIOREKTA MATAHARI / MATHLA' MUSTAQIM SYAMSI (am)</t>
  </si>
  <si>
    <t>ASCRNSIORERKTA BULAN / MATHLA' MUSTAQIM QOMAR  (ac)</t>
  </si>
  <si>
    <t>Sbelum -500</t>
  </si>
  <si>
    <t xml:space="preserve"> -500  s/d  500</t>
  </si>
  <si>
    <t>500    s/d  1600</t>
  </si>
  <si>
    <t>1601  s/d  1700</t>
  </si>
  <si>
    <t>1701  s/d  1800</t>
  </si>
  <si>
    <t>1801  s/d  1860</t>
  </si>
  <si>
    <t>1861  s/d  1900</t>
  </si>
  <si>
    <t>1901  s/d  1920</t>
  </si>
  <si>
    <t>1921  s/d  1941</t>
  </si>
  <si>
    <t>1962  s/d  1986</t>
  </si>
  <si>
    <t>1942  s/d  1961</t>
  </si>
  <si>
    <t>BELAJAR HISAB AWAL BULAN</t>
  </si>
  <si>
    <t>GHRB LMT</t>
  </si>
  <si>
    <t xml:space="preserve">00° 06' 11.13'' </t>
  </si>
  <si>
    <t xml:space="preserve">01° 00' 41.57'' </t>
  </si>
  <si>
    <t xml:space="preserve"> =T54-MOD(D42;24)+Q111</t>
  </si>
  <si>
    <t>Markaz</t>
  </si>
  <si>
    <t xml:space="preserve">Lintang Tempat  </t>
  </si>
  <si>
    <t>Bujur Tempat</t>
  </si>
  <si>
    <t>Zona Waktu</t>
  </si>
  <si>
    <t>LS</t>
  </si>
  <si>
    <t>BT</t>
  </si>
  <si>
    <t>PONPES RIYADUSSALAM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</si>
</sst>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h]\°\ mm\'\ ss\'\'"/>
    <numFmt numFmtId="165" formatCode="0.00000000000000_ "/>
    <numFmt numFmtId="166" formatCode="0.0000"/>
    <numFmt numFmtId="167" formatCode="0.00000"/>
  </numFmts>
  <fonts count="63">
    <font>
      <sz val="11"/>
      <name val="Calibri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sz val="12"/>
      <name val="Arial"/>
      <family val="2"/>
    </font>
    <font>
      <b/>
      <sz val="36"/>
      <color rgb="FF000000"/>
      <name val="Arial Black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b/>
      <sz val="16"/>
      <color rgb="FF000000"/>
      <name val="Arial Rounded MT Bold"/>
      <family val="2"/>
    </font>
    <font>
      <b/>
      <sz val="12"/>
      <color rgb="FF000000"/>
      <name val="KFGQPC Uthman Taha Naskh"/>
      <charset val="178"/>
    </font>
    <font>
      <b/>
      <sz val="10"/>
      <color rgb="FF000000"/>
      <name val="Calibri"/>
      <family val="2"/>
    </font>
    <font>
      <b/>
      <sz val="11"/>
      <color rgb="FF000000"/>
      <name val="KFGQPC Uthman Taha Naskh"/>
      <charset val="178"/>
    </font>
    <font>
      <sz val="12"/>
      <name val="Arial"/>
      <family val="2"/>
    </font>
    <font>
      <b/>
      <sz val="12"/>
      <color rgb="FF000000"/>
      <name val="KFGQPC Uthman Taha Naskh"/>
      <charset val="178"/>
    </font>
    <font>
      <b/>
      <sz val="10"/>
      <color rgb="FF000000"/>
      <name val="KFGQPC Uthman Taha Naskh"/>
      <charset val="178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FF"/>
      <name val="Calibri"/>
      <family val="2"/>
    </font>
    <font>
      <b/>
      <sz val="20"/>
      <color rgb="FF000000"/>
      <name val="Calibri"/>
      <family val="2"/>
    </font>
    <font>
      <b/>
      <sz val="12"/>
      <color rgb="FF000000"/>
      <name val="Baskerville Old Face"/>
      <family val="1"/>
    </font>
    <font>
      <b/>
      <sz val="11"/>
      <color rgb="FF000000"/>
      <name val="Baskerville Old Face"/>
      <family val="1"/>
    </font>
    <font>
      <b/>
      <sz val="28"/>
      <color rgb="FF000000"/>
      <name val="Calibri"/>
      <family val="2"/>
    </font>
    <font>
      <sz val="11"/>
      <color indexed="64"/>
      <name val="Calibri"/>
      <family val="2"/>
    </font>
    <font>
      <sz val="11"/>
      <color rgb="FF0000FF"/>
      <name val="Cambria"/>
      <family val="1"/>
    </font>
    <font>
      <sz val="10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KFGQPC Uthman Taha Naskh"/>
      <charset val="178"/>
    </font>
    <font>
      <b/>
      <sz val="10"/>
      <color rgb="FF000000"/>
      <name val="Arabic11 BT"/>
      <charset val="178"/>
    </font>
    <font>
      <b/>
      <sz val="14"/>
      <name val="Arabic11 BT"/>
      <charset val="178"/>
    </font>
    <font>
      <b/>
      <sz val="9"/>
      <color rgb="FF000000"/>
      <name val="Times New Roman"/>
      <family val="1"/>
    </font>
    <font>
      <sz val="10"/>
      <color rgb="FF000000"/>
      <name val="Calibri"/>
      <family val="2"/>
    </font>
    <font>
      <sz val="8"/>
      <color rgb="FF000000"/>
      <name val="Times New Roman"/>
      <family val="1"/>
    </font>
    <font>
      <b/>
      <sz val="10"/>
      <name val="Arabic Transparent"/>
      <charset val="178"/>
    </font>
    <font>
      <sz val="8"/>
      <name val="Arial"/>
      <family val="2"/>
    </font>
    <font>
      <sz val="10"/>
      <name val="Calibri"/>
      <family val="2"/>
    </font>
    <font>
      <sz val="8"/>
      <color rgb="FF000000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b/>
      <sz val="18"/>
      <name val="KFGQPC Uthman Taha Naskh"/>
      <charset val="178"/>
    </font>
    <font>
      <b/>
      <sz val="14"/>
      <name val="Arial"/>
      <family val="2"/>
    </font>
    <font>
      <b/>
      <sz val="10"/>
      <color rgb="FF1F029A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4"/>
      <color rgb="FF000000"/>
      <name val="Baskerville Old Face"/>
      <family val="1"/>
    </font>
    <font>
      <b/>
      <sz val="11"/>
      <color rgb="FFFF0000"/>
      <name val="Baskerville Old Face"/>
      <family val="1"/>
    </font>
    <font>
      <sz val="11"/>
      <color rgb="FFFF0000"/>
      <name val="Calibri"/>
      <family val="2"/>
    </font>
    <font>
      <b/>
      <sz val="20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A1FFA1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3" fillId="0" borderId="0">
      <protection locked="0"/>
    </xf>
    <xf numFmtId="0" fontId="44" fillId="0" borderId="0">
      <protection locked="0"/>
    </xf>
  </cellStyleXfs>
  <cellXfs count="810">
    <xf numFmtId="0" fontId="0" fillId="0" borderId="0" xfId="0">
      <alignment vertical="center"/>
    </xf>
    <xf numFmtId="0" fontId="9" fillId="6" borderId="3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3" xfId="0" applyFont="1" applyBorder="1" applyAlignment="1"/>
    <xf numFmtId="0" fontId="1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2" borderId="1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4" fillId="0" borderId="0" xfId="0" applyFont="1" applyBorder="1" applyAlignment="1"/>
    <xf numFmtId="0" fontId="4" fillId="7" borderId="30" xfId="0" applyFont="1" applyFill="1" applyBorder="1" applyAlignment="1">
      <alignment horizontal="center"/>
    </xf>
    <xf numFmtId="0" fontId="1" fillId="0" borderId="0" xfId="0" applyFont="1" applyBorder="1" applyAlignment="1"/>
    <xf numFmtId="0" fontId="4" fillId="8" borderId="28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/>
    </xf>
    <xf numFmtId="0" fontId="3" fillId="9" borderId="39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1" fontId="1" fillId="7" borderId="35" xfId="0" applyNumberFormat="1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9" borderId="40" xfId="0" applyFont="1" applyFill="1" applyBorder="1" applyAlignment="1">
      <alignment horizontal="center"/>
    </xf>
    <xf numFmtId="0" fontId="3" fillId="9" borderId="41" xfId="0" applyFont="1" applyFill="1" applyBorder="1" applyAlignment="1">
      <alignment horizontal="center"/>
    </xf>
    <xf numFmtId="0" fontId="3" fillId="9" borderId="42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1" fillId="4" borderId="43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/>
    </xf>
    <xf numFmtId="0" fontId="3" fillId="9" borderId="46" xfId="0" applyFont="1" applyFill="1" applyBorder="1" applyAlignment="1"/>
    <xf numFmtId="1" fontId="1" fillId="9" borderId="44" xfId="0" applyNumberFormat="1" applyFont="1" applyFill="1" applyBorder="1" applyAlignment="1">
      <alignment horizontal="center"/>
    </xf>
    <xf numFmtId="0" fontId="1" fillId="9" borderId="35" xfId="0" applyFont="1" applyFill="1" applyBorder="1" applyAlignment="1">
      <alignment horizontal="center"/>
    </xf>
    <xf numFmtId="0" fontId="1" fillId="9" borderId="45" xfId="0" applyFont="1" applyFill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0" fontId="3" fillId="4" borderId="47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14" fillId="0" borderId="0" xfId="0" applyFont="1" applyFill="1" applyBorder="1" applyAlignment="1"/>
    <xf numFmtId="0" fontId="1" fillId="7" borderId="35" xfId="0" applyFont="1" applyFill="1" applyBorder="1" applyAlignment="1">
      <alignment horizontal="center"/>
    </xf>
    <xf numFmtId="0" fontId="3" fillId="9" borderId="11" xfId="0" applyFont="1" applyFill="1" applyBorder="1" applyAlignment="1"/>
    <xf numFmtId="1" fontId="1" fillId="9" borderId="35" xfId="0" applyNumberFormat="1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9" borderId="36" xfId="0" applyFont="1" applyFill="1" applyBorder="1" applyAlignment="1">
      <alignment horizontal="center"/>
    </xf>
    <xf numFmtId="0" fontId="3" fillId="4" borderId="49" xfId="0" applyFont="1" applyFill="1" applyBorder="1" applyAlignment="1">
      <alignment horizontal="center"/>
    </xf>
    <xf numFmtId="0" fontId="14" fillId="0" borderId="0" xfId="0" applyFont="1" applyBorder="1" applyAlignment="1"/>
    <xf numFmtId="0" fontId="2" fillId="9" borderId="35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36" xfId="0" applyFont="1" applyFill="1" applyBorder="1" applyAlignment="1">
      <alignment horizontal="center"/>
    </xf>
    <xf numFmtId="0" fontId="3" fillId="4" borderId="56" xfId="0" applyFont="1" applyFill="1" applyBorder="1" applyAlignment="1">
      <alignment horizontal="center"/>
    </xf>
    <xf numFmtId="21" fontId="1" fillId="4" borderId="57" xfId="0" applyNumberFormat="1" applyFont="1" applyFill="1" applyBorder="1" applyAlignment="1">
      <alignment horizontal="center"/>
    </xf>
    <xf numFmtId="0" fontId="1" fillId="0" borderId="21" xfId="0" applyFont="1" applyBorder="1" applyAlignment="1"/>
    <xf numFmtId="0" fontId="1" fillId="0" borderId="0" xfId="0" applyNumberFormat="1" applyFont="1" applyAlignment="1"/>
    <xf numFmtId="0" fontId="1" fillId="6" borderId="5" xfId="0" applyFont="1" applyFill="1" applyBorder="1" applyAlignment="1"/>
    <xf numFmtId="0" fontId="1" fillId="6" borderId="21" xfId="0" applyFont="1" applyFill="1" applyBorder="1" applyAlignment="1"/>
    <xf numFmtId="0" fontId="1" fillId="6" borderId="21" xfId="0" applyFont="1" applyFill="1" applyBorder="1" applyAlignment="1"/>
    <xf numFmtId="0" fontId="1" fillId="6" borderId="6" xfId="0" applyFont="1" applyFill="1" applyBorder="1" applyAlignment="1"/>
    <xf numFmtId="0" fontId="16" fillId="11" borderId="31" xfId="1" applyFont="1" applyFill="1" applyBorder="1" applyAlignment="1" applyProtection="1">
      <alignment horizontal="center" vertical="center"/>
    </xf>
    <xf numFmtId="0" fontId="16" fillId="11" borderId="32" xfId="1" applyFont="1" applyFill="1" applyBorder="1" applyAlignment="1" applyProtection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horizontal="center"/>
    </xf>
    <xf numFmtId="0" fontId="3" fillId="12" borderId="59" xfId="0" applyFont="1" applyFill="1" applyBorder="1" applyAlignment="1">
      <alignment horizontal="center"/>
    </xf>
    <xf numFmtId="0" fontId="4" fillId="12" borderId="25" xfId="0" applyFont="1" applyFill="1" applyBorder="1" applyAlignment="1">
      <alignment horizontal="center"/>
    </xf>
    <xf numFmtId="0" fontId="4" fillId="12" borderId="26" xfId="0" applyFont="1" applyFill="1" applyBorder="1" applyAlignment="1">
      <alignment horizontal="center"/>
    </xf>
    <xf numFmtId="0" fontId="17" fillId="11" borderId="35" xfId="1" applyFont="1" applyFill="1" applyBorder="1" applyAlignment="1" applyProtection="1">
      <alignment horizontal="center" vertical="center" wrapText="1" readingOrder="1"/>
    </xf>
    <xf numFmtId="0" fontId="17" fillId="11" borderId="35" xfId="1" applyFont="1" applyFill="1" applyBorder="1" applyAlignment="1" applyProtection="1">
      <alignment horizontal="center" vertical="center" readingOrder="1"/>
    </xf>
    <xf numFmtId="0" fontId="17" fillId="11" borderId="36" xfId="1" applyFont="1" applyFill="1" applyBorder="1" applyAlignment="1" applyProtection="1">
      <alignment horizontal="center" vertical="center" readingOrder="1"/>
    </xf>
    <xf numFmtId="0" fontId="3" fillId="12" borderId="8" xfId="0" applyFont="1" applyFill="1" applyBorder="1" applyAlignment="1"/>
    <xf numFmtId="0" fontId="3" fillId="12" borderId="31" xfId="0" applyFont="1" applyFill="1" applyBorder="1" applyAlignment="1">
      <alignment horizontal="center"/>
    </xf>
    <xf numFmtId="0" fontId="4" fillId="12" borderId="44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3" fillId="11" borderId="11" xfId="0" applyFont="1" applyFill="1" applyBorder="1" applyAlignment="1">
      <alignment horizontal="center"/>
    </xf>
    <xf numFmtId="1" fontId="3" fillId="11" borderId="35" xfId="0" applyNumberFormat="1" applyFont="1" applyFill="1" applyBorder="1" applyAlignment="1">
      <alignment horizontal="center"/>
    </xf>
    <xf numFmtId="0" fontId="1" fillId="11" borderId="35" xfId="0" applyFont="1" applyFill="1" applyBorder="1" applyAlignment="1">
      <alignment horizontal="center"/>
    </xf>
    <xf numFmtId="0" fontId="1" fillId="11" borderId="36" xfId="0" applyFont="1" applyFill="1" applyBorder="1" applyAlignment="1">
      <alignment horizontal="center"/>
    </xf>
    <xf numFmtId="0" fontId="3" fillId="12" borderId="11" xfId="0" applyFont="1" applyFill="1" applyBorder="1" applyAlignment="1">
      <alignment horizontal="left"/>
    </xf>
    <xf numFmtId="0" fontId="3" fillId="12" borderId="35" xfId="0" applyFont="1" applyFill="1" applyBorder="1" applyAlignment="1">
      <alignment horizontal="center"/>
    </xf>
    <xf numFmtId="0" fontId="4" fillId="12" borderId="36" xfId="0" applyFont="1" applyFill="1" applyBorder="1" applyAlignment="1">
      <alignment horizontal="center"/>
    </xf>
    <xf numFmtId="0" fontId="3" fillId="11" borderId="35" xfId="0" applyFont="1" applyFill="1" applyBorder="1" applyAlignment="1">
      <alignment horizontal="center"/>
    </xf>
    <xf numFmtId="0" fontId="1" fillId="11" borderId="35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left"/>
    </xf>
    <xf numFmtId="0" fontId="3" fillId="12" borderId="60" xfId="0" applyFont="1" applyFill="1" applyBorder="1" applyAlignment="1">
      <alignment horizontal="center"/>
    </xf>
    <xf numFmtId="0" fontId="4" fillId="12" borderId="40" xfId="0" applyFont="1" applyFill="1" applyBorder="1" applyAlignment="1">
      <alignment horizontal="center"/>
    </xf>
    <xf numFmtId="0" fontId="4" fillId="12" borderId="42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0" fontId="4" fillId="11" borderId="35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Alignment="1"/>
    <xf numFmtId="0" fontId="1" fillId="0" borderId="38" xfId="0" applyFont="1" applyFill="1" applyBorder="1" applyAlignment="1">
      <alignment horizontal="center"/>
    </xf>
    <xf numFmtId="0" fontId="18" fillId="11" borderId="35" xfId="1" applyFont="1" applyFill="1" applyBorder="1" applyAlignment="1" applyProtection="1">
      <alignment horizontal="center" vertical="center"/>
    </xf>
    <xf numFmtId="0" fontId="18" fillId="11" borderId="35" xfId="1" applyFont="1" applyFill="1" applyBorder="1" applyAlignment="1" applyProtection="1">
      <alignment horizontal="center" vertical="center" wrapText="1"/>
    </xf>
    <xf numFmtId="0" fontId="18" fillId="11" borderId="36" xfId="1" applyFont="1" applyFill="1" applyBorder="1" applyAlignment="1" applyProtection="1">
      <alignment horizontal="center" vertical="center"/>
    </xf>
    <xf numFmtId="164" fontId="19" fillId="0" borderId="0" xfId="0" applyNumberFormat="1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0" fillId="11" borderId="35" xfId="1" applyFont="1" applyFill="1" applyBorder="1" applyAlignment="1" applyProtection="1">
      <alignment horizontal="center" vertical="center"/>
    </xf>
    <xf numFmtId="0" fontId="21" fillId="11" borderId="35" xfId="1" applyFont="1" applyFill="1" applyBorder="1" applyAlignment="1" applyProtection="1">
      <alignment horizontal="center" vertical="center"/>
    </xf>
    <xf numFmtId="0" fontId="22" fillId="11" borderId="35" xfId="1" applyFont="1" applyFill="1" applyBorder="1" applyAlignment="1" applyProtection="1">
      <alignment horizontal="center" vertical="center" readingOrder="1"/>
    </xf>
    <xf numFmtId="0" fontId="22" fillId="11" borderId="36" xfId="1" applyFont="1" applyFill="1" applyBorder="1" applyAlignment="1" applyProtection="1">
      <alignment horizontal="center" vertical="center" readingOrder="1"/>
    </xf>
    <xf numFmtId="0" fontId="1" fillId="0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23" fillId="0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1" fillId="11" borderId="35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4" fillId="0" borderId="35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1" fillId="0" borderId="35" xfId="0" applyFont="1" applyFill="1" applyBorder="1" applyAlignment="1">
      <alignment horizontal="center"/>
    </xf>
    <xf numFmtId="0" fontId="1" fillId="0" borderId="36" xfId="0" applyFont="1" applyFill="1" applyBorder="1" applyAlignment="1">
      <alignment horizontal="center"/>
    </xf>
    <xf numFmtId="0" fontId="3" fillId="11" borderId="60" xfId="0" applyFont="1" applyFill="1" applyBorder="1" applyAlignment="1">
      <alignment horizontal="center" vertical="center"/>
    </xf>
    <xf numFmtId="0" fontId="3" fillId="11" borderId="60" xfId="0" applyFont="1" applyFill="1" applyBorder="1" applyAlignment="1">
      <alignment horizontal="center"/>
    </xf>
    <xf numFmtId="0" fontId="3" fillId="11" borderId="6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36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11" xfId="0" applyFont="1" applyFill="1" applyBorder="1" applyAlignment="1"/>
    <xf numFmtId="0" fontId="3" fillId="0" borderId="35" xfId="0" applyFont="1" applyFill="1" applyBorder="1" applyAlignment="1"/>
    <xf numFmtId="0" fontId="1" fillId="0" borderId="35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7" borderId="46" xfId="0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0" fontId="3" fillId="0" borderId="35" xfId="0" applyFont="1" applyFill="1" applyBorder="1">
      <alignment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3" fillId="0" borderId="11" xfId="0" applyFont="1" applyBorder="1" applyAlignment="1"/>
    <xf numFmtId="0" fontId="3" fillId="0" borderId="35" xfId="0" applyFont="1" applyBorder="1" applyAlignment="1"/>
    <xf numFmtId="0" fontId="1" fillId="0" borderId="56" xfId="0" applyFont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1" fillId="0" borderId="65" xfId="0" applyFont="1" applyFill="1" applyBorder="1" applyAlignment="1"/>
    <xf numFmtId="0" fontId="3" fillId="0" borderId="4" xfId="0" applyFont="1" applyBorder="1" applyAlignment="1">
      <alignment horizontal="center" vertical="center"/>
    </xf>
    <xf numFmtId="0" fontId="3" fillId="13" borderId="28" xfId="0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1" fillId="0" borderId="22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35" xfId="0" applyFont="1" applyBorder="1">
      <alignment vertical="center"/>
    </xf>
    <xf numFmtId="0" fontId="1" fillId="0" borderId="12" xfId="0" applyFont="1" applyBorder="1" applyAlignment="1">
      <alignment horizontal="right"/>
    </xf>
    <xf numFmtId="0" fontId="10" fillId="0" borderId="13" xfId="0" applyFont="1" applyFill="1" applyBorder="1">
      <alignment vertical="center"/>
    </xf>
    <xf numFmtId="0" fontId="1" fillId="0" borderId="35" xfId="0" applyFont="1" applyBorder="1" applyAlignment="1"/>
    <xf numFmtId="21" fontId="1" fillId="0" borderId="12" xfId="0" applyNumberFormat="1" applyFont="1" applyBorder="1" applyAlignment="1">
      <alignment horizontal="center"/>
    </xf>
    <xf numFmtId="0" fontId="1" fillId="0" borderId="47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0" fontId="1" fillId="0" borderId="11" xfId="0" applyFont="1" applyBorder="1" applyAlignment="1"/>
    <xf numFmtId="0" fontId="23" fillId="0" borderId="3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/>
    </xf>
    <xf numFmtId="0" fontId="1" fillId="0" borderId="35" xfId="0" applyFont="1" applyBorder="1" applyAlignment="1">
      <alignment horizontal="left"/>
    </xf>
    <xf numFmtId="0" fontId="1" fillId="0" borderId="3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3" fillId="0" borderId="4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37" xfId="0" applyFont="1" applyBorder="1" applyAlignment="1"/>
    <xf numFmtId="0" fontId="13" fillId="0" borderId="0" xfId="0" applyFont="1" applyBorder="1" applyAlignment="1">
      <alignment horizontal="center"/>
    </xf>
    <xf numFmtId="0" fontId="1" fillId="0" borderId="35" xfId="0" applyFont="1" applyFill="1" applyBorder="1" applyAlignment="1"/>
    <xf numFmtId="0" fontId="23" fillId="0" borderId="27" xfId="0" applyFont="1" applyFill="1" applyBorder="1" applyAlignment="1">
      <alignment horizontal="center" vertical="center"/>
    </xf>
    <xf numFmtId="0" fontId="4" fillId="14" borderId="28" xfId="0" applyFont="1" applyFill="1" applyBorder="1" applyAlignment="1">
      <alignment horizontal="center"/>
    </xf>
    <xf numFmtId="0" fontId="4" fillId="0" borderId="60" xfId="0" applyFont="1" applyBorder="1" applyAlignment="1"/>
    <xf numFmtId="0" fontId="4" fillId="0" borderId="6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3" fillId="0" borderId="56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3" fillId="0" borderId="0" xfId="0" applyFont="1" applyBorder="1" applyAlignment="1"/>
    <xf numFmtId="0" fontId="9" fillId="0" borderId="0" xfId="0" applyFont="1" applyFill="1" applyBorder="1">
      <alignment vertical="center"/>
    </xf>
    <xf numFmtId="21" fontId="28" fillId="0" borderId="0" xfId="0" applyNumberFormat="1" applyFont="1" applyFill="1" applyBorder="1">
      <alignment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65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4" fillId="14" borderId="11" xfId="0" applyFont="1" applyFill="1" applyBorder="1" applyAlignment="1"/>
    <xf numFmtId="0" fontId="4" fillId="14" borderId="16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26" fillId="0" borderId="23" xfId="0" applyFont="1" applyBorder="1">
      <alignment vertical="center"/>
    </xf>
    <xf numFmtId="0" fontId="26" fillId="0" borderId="23" xfId="0" applyFont="1" applyFill="1" applyBorder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5" xfId="0" applyFont="1" applyBorder="1" applyAlignment="1"/>
    <xf numFmtId="0" fontId="4" fillId="7" borderId="28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0" fontId="4" fillId="16" borderId="28" xfId="0" applyFont="1" applyFill="1" applyBorder="1" applyAlignment="1">
      <alignment horizontal="center"/>
    </xf>
    <xf numFmtId="0" fontId="4" fillId="13" borderId="28" xfId="0" applyFont="1" applyFill="1" applyBorder="1" applyAlignment="1">
      <alignment horizontal="center"/>
    </xf>
    <xf numFmtId="0" fontId="4" fillId="13" borderId="35" xfId="0" applyFont="1" applyFill="1" applyBorder="1" applyAlignment="1">
      <alignment horizontal="center"/>
    </xf>
    <xf numFmtId="0" fontId="1" fillId="13" borderId="35" xfId="0" applyFont="1" applyFill="1" applyBorder="1" applyAlignment="1">
      <alignment horizontal="center"/>
    </xf>
    <xf numFmtId="165" fontId="29" fillId="0" borderId="0" xfId="0" applyNumberFormat="1" applyFont="1" applyFill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0" fontId="4" fillId="17" borderId="28" xfId="0" applyFont="1" applyFill="1" applyBorder="1" applyAlignment="1">
      <alignment horizontal="center"/>
    </xf>
    <xf numFmtId="0" fontId="4" fillId="17" borderId="11" xfId="0" applyFont="1" applyFill="1" applyBorder="1" applyAlignment="1">
      <alignment horizontal="center"/>
    </xf>
    <xf numFmtId="0" fontId="30" fillId="0" borderId="0" xfId="0" applyNumberFormat="1" applyFont="1" applyFill="1" applyBorder="1" applyAlignment="1">
      <alignment horizontal="right" vertical="center"/>
    </xf>
    <xf numFmtId="0" fontId="4" fillId="17" borderId="35" xfId="0" applyFont="1" applyFill="1" applyBorder="1" applyAlignment="1">
      <alignment horizontal="center"/>
    </xf>
    <xf numFmtId="0" fontId="4" fillId="17" borderId="44" xfId="0" applyFont="1" applyFill="1" applyBorder="1" applyAlignment="1">
      <alignment horizontal="center"/>
    </xf>
    <xf numFmtId="10" fontId="3" fillId="17" borderId="12" xfId="0" applyNumberFormat="1" applyFont="1" applyFill="1" applyBorder="1" applyAlignment="1">
      <alignment horizontal="center"/>
    </xf>
    <xf numFmtId="166" fontId="3" fillId="17" borderId="35" xfId="0" applyNumberFormat="1" applyFont="1" applyFill="1" applyBorder="1" applyAlignment="1">
      <alignment horizontal="center"/>
    </xf>
    <xf numFmtId="0" fontId="4" fillId="17" borderId="37" xfId="0" applyFont="1" applyFill="1" applyBorder="1" applyAlignment="1"/>
    <xf numFmtId="0" fontId="4" fillId="17" borderId="50" xfId="0" applyFont="1" applyFill="1" applyBorder="1" applyAlignment="1"/>
    <xf numFmtId="0" fontId="3" fillId="17" borderId="50" xfId="0" applyFont="1" applyFill="1" applyBorder="1" applyAlignment="1"/>
    <xf numFmtId="0" fontId="3" fillId="17" borderId="13" xfId="0" applyFont="1" applyFill="1" applyBorder="1" applyAlignment="1"/>
    <xf numFmtId="0" fontId="4" fillId="17" borderId="14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  <xf numFmtId="0" fontId="31" fillId="0" borderId="0" xfId="0" applyNumberFormat="1" applyFont="1" applyFill="1" applyBorder="1">
      <alignment vertical="center"/>
    </xf>
    <xf numFmtId="0" fontId="1" fillId="0" borderId="0" xfId="0" applyFont="1" applyAlignment="1">
      <alignment horizontal="right"/>
    </xf>
    <xf numFmtId="1" fontId="1" fillId="0" borderId="0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left"/>
    </xf>
    <xf numFmtId="0" fontId="1" fillId="0" borderId="0" xfId="0" applyFont="1" applyBorder="1" applyAlignment="1"/>
    <xf numFmtId="0" fontId="32" fillId="0" borderId="28" xfId="0" applyFont="1" applyBorder="1" applyAlignment="1"/>
    <xf numFmtId="0" fontId="32" fillId="0" borderId="32" xfId="0" applyFont="1" applyBorder="1" applyAlignment="1">
      <alignment horizontal="center"/>
    </xf>
    <xf numFmtId="0" fontId="32" fillId="0" borderId="11" xfId="0" applyFont="1" applyBorder="1" applyAlignment="1"/>
    <xf numFmtId="0" fontId="32" fillId="0" borderId="36" xfId="0" applyFont="1" applyBorder="1" applyAlignment="1">
      <alignment horizontal="center"/>
    </xf>
    <xf numFmtId="0" fontId="32" fillId="0" borderId="16" xfId="0" applyFont="1" applyBorder="1" applyAlignment="1"/>
    <xf numFmtId="0" fontId="32" fillId="0" borderId="61" xfId="0" applyFont="1" applyBorder="1" applyAlignment="1">
      <alignment horizontal="center"/>
    </xf>
    <xf numFmtId="0" fontId="32" fillId="0" borderId="0" xfId="0" applyFont="1" applyAlignment="1"/>
    <xf numFmtId="0" fontId="23" fillId="0" borderId="28" xfId="0" applyFont="1" applyBorder="1" applyAlignment="1"/>
    <xf numFmtId="0" fontId="23" fillId="0" borderId="32" xfId="0" applyFont="1" applyBorder="1" applyAlignment="1">
      <alignment horizontal="center"/>
    </xf>
    <xf numFmtId="0" fontId="23" fillId="0" borderId="46" xfId="0" applyFont="1" applyFill="1" applyBorder="1" applyAlignment="1"/>
    <xf numFmtId="0" fontId="23" fillId="0" borderId="36" xfId="0" applyFont="1" applyFill="1" applyBorder="1" applyAlignment="1">
      <alignment horizontal="center"/>
    </xf>
    <xf numFmtId="0" fontId="23" fillId="0" borderId="11" xfId="0" applyFont="1" applyFill="1" applyBorder="1" applyAlignment="1"/>
    <xf numFmtId="0" fontId="23" fillId="0" borderId="11" xfId="0" applyFont="1" applyBorder="1" applyAlignment="1"/>
    <xf numFmtId="0" fontId="23" fillId="0" borderId="36" xfId="0" applyFont="1" applyBorder="1" applyAlignment="1">
      <alignment horizontal="center"/>
    </xf>
    <xf numFmtId="0" fontId="23" fillId="0" borderId="16" xfId="0" applyFont="1" applyBorder="1" applyAlignment="1"/>
    <xf numFmtId="0" fontId="23" fillId="0" borderId="61" xfId="0" applyFont="1" applyBorder="1" applyAlignment="1">
      <alignment horizontal="center"/>
    </xf>
    <xf numFmtId="0" fontId="32" fillId="8" borderId="24" xfId="0" applyFont="1" applyFill="1" applyBorder="1" applyAlignment="1"/>
    <xf numFmtId="0" fontId="32" fillId="8" borderId="26" xfId="0" applyFont="1" applyFill="1" applyBorder="1" applyAlignment="1">
      <alignment horizontal="center"/>
    </xf>
    <xf numFmtId="0" fontId="33" fillId="0" borderId="0" xfId="1" applyAlignment="1" applyProtection="1"/>
    <xf numFmtId="0" fontId="34" fillId="0" borderId="0" xfId="1" applyFont="1" applyFill="1" applyBorder="1" applyAlignment="1" applyProtection="1">
      <alignment horizontal="center" vertical="center" readingOrder="2"/>
    </xf>
    <xf numFmtId="0" fontId="16" fillId="0" borderId="62" xfId="1" applyFont="1" applyFill="1" applyBorder="1" applyAlignment="1" applyProtection="1">
      <alignment horizontal="center" vertical="center" readingOrder="2"/>
    </xf>
    <xf numFmtId="0" fontId="16" fillId="0" borderId="35" xfId="1" applyFont="1" applyFill="1" applyBorder="1" applyAlignment="1" applyProtection="1">
      <alignment horizontal="center" vertical="center" readingOrder="2"/>
    </xf>
    <xf numFmtId="0" fontId="16" fillId="0" borderId="0" xfId="1" applyFont="1" applyFill="1" applyBorder="1" applyAlignment="1" applyProtection="1">
      <alignment horizontal="center" vertical="center" readingOrder="2"/>
    </xf>
    <xf numFmtId="0" fontId="21" fillId="0" borderId="35" xfId="1" applyFont="1" applyBorder="1" applyAlignment="1" applyProtection="1">
      <alignment horizontal="center" vertical="center"/>
    </xf>
    <xf numFmtId="0" fontId="35" fillId="0" borderId="0" xfId="1" applyFont="1" applyBorder="1" applyAlignment="1" applyProtection="1">
      <alignment horizontal="center" vertical="center"/>
    </xf>
    <xf numFmtId="0" fontId="16" fillId="0" borderId="44" xfId="1" applyFont="1" applyFill="1" applyBorder="1" applyAlignment="1" applyProtection="1">
      <alignment horizontal="center" vertical="center" readingOrder="2"/>
    </xf>
    <xf numFmtId="0" fontId="17" fillId="0" borderId="35" xfId="1" applyFont="1" applyFill="1" applyBorder="1" applyAlignment="1" applyProtection="1">
      <alignment horizontal="center" vertical="center" readingOrder="1"/>
    </xf>
    <xf numFmtId="0" fontId="17" fillId="0" borderId="0" xfId="1" applyFont="1" applyFill="1" applyBorder="1" applyAlignment="1" applyProtection="1">
      <alignment horizontal="center" vertical="center" readingOrder="1"/>
    </xf>
    <xf numFmtId="0" fontId="17" fillId="0" borderId="35" xfId="1" applyFont="1" applyBorder="1" applyAlignment="1" applyProtection="1">
      <alignment horizontal="center" vertical="center" wrapText="1" readingOrder="1"/>
    </xf>
    <xf numFmtId="0" fontId="17" fillId="0" borderId="35" xfId="1" applyFont="1" applyBorder="1" applyAlignment="1" applyProtection="1">
      <alignment horizontal="center" vertical="center" readingOrder="1"/>
    </xf>
    <xf numFmtId="0" fontId="37" fillId="0" borderId="0" xfId="1" applyFont="1" applyBorder="1" applyAlignment="1" applyProtection="1">
      <alignment horizontal="center" vertical="center" readingOrder="1"/>
    </xf>
    <xf numFmtId="0" fontId="22" fillId="20" borderId="35" xfId="1" applyFont="1" applyFill="1" applyBorder="1" applyAlignment="1" applyProtection="1">
      <alignment horizontal="center" vertical="center" readingOrder="2"/>
    </xf>
    <xf numFmtId="0" fontId="22" fillId="21" borderId="35" xfId="1" applyFont="1" applyFill="1" applyBorder="1" applyAlignment="1" applyProtection="1">
      <alignment horizontal="center" vertical="center" readingOrder="1"/>
    </xf>
    <xf numFmtId="0" fontId="22" fillId="2" borderId="35" xfId="1" applyFont="1" applyFill="1" applyBorder="1" applyAlignment="1" applyProtection="1">
      <alignment horizontal="center" vertical="center" readingOrder="1"/>
    </xf>
    <xf numFmtId="0" fontId="22" fillId="22" borderId="35" xfId="1" applyFont="1" applyFill="1" applyBorder="1" applyAlignment="1" applyProtection="1">
      <alignment horizontal="center" vertical="center" readingOrder="1"/>
    </xf>
    <xf numFmtId="0" fontId="22" fillId="23" borderId="35" xfId="1" applyFont="1" applyFill="1" applyBorder="1" applyAlignment="1" applyProtection="1">
      <alignment horizontal="center" vertical="center" readingOrder="1"/>
    </xf>
    <xf numFmtId="0" fontId="22" fillId="0" borderId="0" xfId="1" applyFont="1" applyFill="1" applyBorder="1" applyAlignment="1" applyProtection="1">
      <alignment horizontal="center" vertical="center" readingOrder="1"/>
    </xf>
    <xf numFmtId="0" fontId="38" fillId="24" borderId="35" xfId="1" applyFont="1" applyFill="1" applyBorder="1" applyAlignment="1" applyProtection="1">
      <alignment horizontal="center" vertical="center" readingOrder="1"/>
    </xf>
    <xf numFmtId="0" fontId="38" fillId="2" borderId="35" xfId="1" applyFont="1" applyFill="1" applyBorder="1" applyAlignment="1" applyProtection="1">
      <alignment horizontal="center" vertical="center" readingOrder="1"/>
    </xf>
    <xf numFmtId="0" fontId="38" fillId="0" borderId="35" xfId="1" applyFont="1" applyBorder="1" applyAlignment="1" applyProtection="1">
      <alignment horizontal="center" vertical="center" wrapText="1" readingOrder="1"/>
    </xf>
    <xf numFmtId="0" fontId="38" fillId="4" borderId="35" xfId="1" applyFont="1" applyFill="1" applyBorder="1" applyAlignment="1" applyProtection="1">
      <alignment horizontal="center" vertical="center" readingOrder="1"/>
    </xf>
    <xf numFmtId="0" fontId="38" fillId="20" borderId="35" xfId="1" applyFont="1" applyFill="1" applyBorder="1" applyAlignment="1" applyProtection="1">
      <alignment horizontal="center" vertical="center" readingOrder="1"/>
    </xf>
    <xf numFmtId="0" fontId="38" fillId="25" borderId="35" xfId="1" applyFont="1" applyFill="1" applyBorder="1" applyAlignment="1" applyProtection="1">
      <alignment horizontal="center" vertical="center" readingOrder="1"/>
    </xf>
    <xf numFmtId="0" fontId="38" fillId="22" borderId="35" xfId="1" applyFont="1" applyFill="1" applyBorder="1" applyAlignment="1" applyProtection="1">
      <alignment horizontal="center" vertical="center" readingOrder="1"/>
    </xf>
    <xf numFmtId="0" fontId="38" fillId="26" borderId="35" xfId="1" applyFont="1" applyFill="1" applyBorder="1" applyAlignment="1" applyProtection="1">
      <alignment horizontal="center" vertical="center" readingOrder="1"/>
    </xf>
    <xf numFmtId="0" fontId="38" fillId="18" borderId="35" xfId="1" applyFont="1" applyFill="1" applyBorder="1" applyAlignment="1" applyProtection="1">
      <alignment horizontal="center" vertical="center" readingOrder="1"/>
    </xf>
    <xf numFmtId="0" fontId="38" fillId="23" borderId="35" xfId="1" applyFont="1" applyFill="1" applyBorder="1" applyAlignment="1" applyProtection="1">
      <alignment horizontal="center" vertical="center" readingOrder="1"/>
    </xf>
    <xf numFmtId="0" fontId="38" fillId="21" borderId="35" xfId="1" applyFont="1" applyFill="1" applyBorder="1" applyAlignment="1" applyProtection="1">
      <alignment horizontal="center" vertical="center" readingOrder="1"/>
    </xf>
    <xf numFmtId="0" fontId="39" fillId="0" borderId="0" xfId="1" applyFont="1" applyBorder="1" applyAlignment="1" applyProtection="1">
      <alignment horizontal="right" vertical="center" readingOrder="1"/>
    </xf>
    <xf numFmtId="0" fontId="40" fillId="19" borderId="35" xfId="0" applyFont="1" applyFill="1" applyBorder="1" applyAlignment="1">
      <alignment horizontal="center" vertical="center" readingOrder="2"/>
    </xf>
    <xf numFmtId="0" fontId="22" fillId="3" borderId="35" xfId="0" applyFont="1" applyFill="1" applyBorder="1" applyAlignment="1">
      <alignment horizontal="center" vertical="center"/>
    </xf>
    <xf numFmtId="0" fontId="22" fillId="20" borderId="35" xfId="1" applyFont="1" applyFill="1" applyBorder="1" applyAlignment="1" applyProtection="1">
      <alignment horizontal="center" vertical="center" readingOrder="1"/>
    </xf>
    <xf numFmtId="0" fontId="22" fillId="21" borderId="35" xfId="1" applyFont="1" applyFill="1" applyBorder="1" applyAlignment="1" applyProtection="1">
      <alignment horizontal="right" vertical="center" indent="1" readingOrder="1"/>
    </xf>
    <xf numFmtId="0" fontId="22" fillId="2" borderId="35" xfId="1" applyFont="1" applyFill="1" applyBorder="1" applyAlignment="1" applyProtection="1">
      <alignment horizontal="right" vertical="center" indent="1" readingOrder="1"/>
    </xf>
    <xf numFmtId="0" fontId="22" fillId="22" borderId="35" xfId="1" applyFont="1" applyFill="1" applyBorder="1" applyAlignment="1" applyProtection="1">
      <alignment horizontal="right" vertical="center" indent="1" readingOrder="1"/>
    </xf>
    <xf numFmtId="0" fontId="22" fillId="23" borderId="35" xfId="1" applyFont="1" applyFill="1" applyBorder="1" applyAlignment="1" applyProtection="1">
      <alignment horizontal="right" vertical="center" indent="1" readingOrder="1"/>
    </xf>
    <xf numFmtId="0" fontId="22" fillId="0" borderId="0" xfId="1" applyFont="1" applyFill="1" applyBorder="1" applyAlignment="1" applyProtection="1">
      <alignment horizontal="right" vertical="center" indent="1" readingOrder="1"/>
    </xf>
    <xf numFmtId="0" fontId="38" fillId="24" borderId="35" xfId="1" applyFont="1" applyFill="1" applyBorder="1" applyAlignment="1" applyProtection="1">
      <alignment horizontal="right" vertical="center" indent="1" readingOrder="1"/>
    </xf>
    <xf numFmtId="0" fontId="38" fillId="2" borderId="35" xfId="1" applyFont="1" applyFill="1" applyBorder="1" applyAlignment="1" applyProtection="1">
      <alignment horizontal="right" vertical="center" indent="1" readingOrder="1"/>
    </xf>
    <xf numFmtId="0" fontId="38" fillId="0" borderId="35" xfId="1" applyFont="1" applyBorder="1" applyAlignment="1" applyProtection="1">
      <alignment horizontal="right" vertical="center" wrapText="1" indent="1" readingOrder="1"/>
    </xf>
    <xf numFmtId="0" fontId="38" fillId="4" borderId="35" xfId="1" applyFont="1" applyFill="1" applyBorder="1" applyAlignment="1" applyProtection="1">
      <alignment horizontal="right" vertical="center" indent="1" readingOrder="1"/>
    </xf>
    <xf numFmtId="0" fontId="38" fillId="20" borderId="35" xfId="1" applyFont="1" applyFill="1" applyBorder="1" applyAlignment="1" applyProtection="1">
      <alignment horizontal="right" vertical="center" indent="1" readingOrder="1"/>
    </xf>
    <xf numFmtId="0" fontId="38" fillId="25" borderId="35" xfId="1" applyFont="1" applyFill="1" applyBorder="1" applyAlignment="1" applyProtection="1">
      <alignment horizontal="right" vertical="center" indent="1" readingOrder="1"/>
    </xf>
    <xf numFmtId="0" fontId="38" fillId="22" borderId="35" xfId="1" applyFont="1" applyFill="1" applyBorder="1" applyAlignment="1" applyProtection="1">
      <alignment horizontal="right" vertical="center" indent="1" readingOrder="1"/>
    </xf>
    <xf numFmtId="0" fontId="38" fillId="26" borderId="35" xfId="1" applyFont="1" applyFill="1" applyBorder="1" applyAlignment="1" applyProtection="1">
      <alignment horizontal="right" vertical="center" indent="1" readingOrder="1"/>
    </xf>
    <xf numFmtId="0" fontId="38" fillId="18" borderId="35" xfId="1" applyFont="1" applyFill="1" applyBorder="1" applyAlignment="1" applyProtection="1">
      <alignment horizontal="right" vertical="center" indent="1" readingOrder="1"/>
    </xf>
    <xf numFmtId="0" fontId="38" fillId="23" borderId="35" xfId="1" applyFont="1" applyFill="1" applyBorder="1" applyAlignment="1" applyProtection="1">
      <alignment horizontal="right" vertical="center" indent="1" readingOrder="1"/>
    </xf>
    <xf numFmtId="0" fontId="38" fillId="21" borderId="35" xfId="1" applyFont="1" applyFill="1" applyBorder="1" applyAlignment="1" applyProtection="1">
      <alignment horizontal="right" vertical="center" indent="1" readingOrder="1"/>
    </xf>
    <xf numFmtId="0" fontId="41" fillId="19" borderId="38" xfId="0" applyFont="1" applyFill="1" applyBorder="1" applyAlignment="1">
      <alignment horizontal="right" vertical="center" indent="1" readingOrder="1"/>
    </xf>
    <xf numFmtId="0" fontId="22" fillId="3" borderId="35" xfId="0" applyFont="1" applyFill="1" applyBorder="1" applyAlignment="1">
      <alignment horizontal="left" vertical="center" indent="1"/>
    </xf>
    <xf numFmtId="0" fontId="41" fillId="19" borderId="44" xfId="0" applyFont="1" applyFill="1" applyBorder="1" applyAlignment="1">
      <alignment horizontal="right" vertical="center" indent="1" readingOrder="1"/>
    </xf>
    <xf numFmtId="0" fontId="22" fillId="0" borderId="0" xfId="0" applyFont="1" applyAlignment="1"/>
    <xf numFmtId="0" fontId="22" fillId="8" borderId="35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left" vertical="center" indent="1"/>
    </xf>
    <xf numFmtId="0" fontId="33" fillId="0" borderId="0" xfId="1" applyFill="1" applyAlignment="1" applyProtection="1"/>
    <xf numFmtId="0" fontId="1" fillId="0" borderId="0" xfId="1" applyFont="1" applyFill="1" applyBorder="1" applyAlignment="1" applyProtection="1"/>
    <xf numFmtId="0" fontId="33" fillId="0" borderId="0" xfId="1" applyFill="1" applyBorder="1" applyAlignment="1" applyProtection="1"/>
    <xf numFmtId="0" fontId="16" fillId="0" borderId="62" xfId="1" applyFont="1" applyBorder="1" applyAlignment="1" applyProtection="1">
      <alignment horizontal="center" vertical="center" readingOrder="2"/>
    </xf>
    <xf numFmtId="0" fontId="16" fillId="0" borderId="35" xfId="1" applyFont="1" applyBorder="1" applyAlignment="1" applyProtection="1">
      <alignment horizontal="center" vertical="center" readingOrder="2"/>
    </xf>
    <xf numFmtId="0" fontId="33" fillId="3" borderId="35" xfId="1" applyFill="1" applyBorder="1" applyAlignment="1" applyProtection="1">
      <alignment horizontal="center"/>
    </xf>
    <xf numFmtId="0" fontId="33" fillId="0" borderId="0" xfId="1" applyFill="1" applyBorder="1" applyAlignment="1" applyProtection="1">
      <alignment horizontal="center"/>
    </xf>
    <xf numFmtId="0" fontId="33" fillId="8" borderId="35" xfId="1" applyFill="1" applyBorder="1" applyAlignment="1" applyProtection="1">
      <alignment horizontal="center"/>
    </xf>
    <xf numFmtId="0" fontId="33" fillId="11" borderId="48" xfId="1" applyFill="1" applyBorder="1" applyAlignment="1" applyProtection="1">
      <alignment horizontal="center"/>
    </xf>
    <xf numFmtId="0" fontId="33" fillId="11" borderId="35" xfId="1" applyFill="1" applyBorder="1" applyAlignment="1" applyProtection="1">
      <alignment horizontal="center"/>
    </xf>
    <xf numFmtId="0" fontId="16" fillId="0" borderId="44" xfId="1" applyFont="1" applyBorder="1" applyAlignment="1" applyProtection="1">
      <alignment horizontal="center" vertical="center" readingOrder="2"/>
    </xf>
    <xf numFmtId="0" fontId="17" fillId="0" borderId="35" xfId="1" applyFont="1" applyBorder="1" applyAlignment="1" applyProtection="1">
      <alignment horizontal="center" vertical="center" readingOrder="2"/>
    </xf>
    <xf numFmtId="0" fontId="17" fillId="0" borderId="0" xfId="1" applyFont="1" applyFill="1" applyBorder="1" applyAlignment="1" applyProtection="1">
      <alignment horizontal="center" vertical="center" readingOrder="2"/>
    </xf>
    <xf numFmtId="166" fontId="38" fillId="4" borderId="35" xfId="1" applyNumberFormat="1" applyFont="1" applyFill="1" applyBorder="1" applyAlignment="1" applyProtection="1">
      <alignment horizontal="center" vertical="center" readingOrder="1"/>
    </xf>
    <xf numFmtId="166" fontId="38" fillId="20" borderId="35" xfId="1" applyNumberFormat="1" applyFont="1" applyFill="1" applyBorder="1" applyAlignment="1" applyProtection="1">
      <alignment horizontal="center" vertical="center" readingOrder="1"/>
    </xf>
    <xf numFmtId="166" fontId="38" fillId="25" borderId="35" xfId="1" applyNumberFormat="1" applyFont="1" applyFill="1" applyBorder="1" applyAlignment="1" applyProtection="1">
      <alignment horizontal="center" vertical="center" readingOrder="1"/>
    </xf>
    <xf numFmtId="166" fontId="38" fillId="22" borderId="35" xfId="1" applyNumberFormat="1" applyFont="1" applyFill="1" applyBorder="1" applyAlignment="1" applyProtection="1">
      <alignment horizontal="center" vertical="center" readingOrder="1"/>
    </xf>
    <xf numFmtId="166" fontId="38" fillId="26" borderId="35" xfId="1" applyNumberFormat="1" applyFont="1" applyFill="1" applyBorder="1" applyAlignment="1" applyProtection="1">
      <alignment horizontal="center" vertical="center" readingOrder="1"/>
    </xf>
    <xf numFmtId="166" fontId="38" fillId="18" borderId="35" xfId="1" applyNumberFormat="1" applyFont="1" applyFill="1" applyBorder="1" applyAlignment="1" applyProtection="1">
      <alignment horizontal="center" vertical="center" readingOrder="1"/>
    </xf>
    <xf numFmtId="166" fontId="38" fillId="23" borderId="35" xfId="1" applyNumberFormat="1" applyFont="1" applyFill="1" applyBorder="1" applyAlignment="1" applyProtection="1">
      <alignment horizontal="center" vertical="center" readingOrder="1"/>
    </xf>
    <xf numFmtId="166" fontId="38" fillId="21" borderId="35" xfId="1" applyNumberFormat="1" applyFont="1" applyFill="1" applyBorder="1" applyAlignment="1" applyProtection="1">
      <alignment horizontal="center" vertical="center" readingOrder="1"/>
    </xf>
    <xf numFmtId="0" fontId="33" fillId="0" borderId="0" xfId="1" applyAlignment="1" applyProtection="1">
      <alignment horizontal="right"/>
    </xf>
    <xf numFmtId="0" fontId="1" fillId="0" borderId="0" xfId="0" applyFont="1" applyBorder="1" applyAlignment="1">
      <alignment horizontal="center" vertical="center"/>
    </xf>
    <xf numFmtId="0" fontId="42" fillId="0" borderId="35" xfId="2" applyFont="1" applyBorder="1" applyAlignment="1" applyProtection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22" fillId="0" borderId="54" xfId="1" applyFont="1" applyBorder="1" applyAlignment="1" applyProtection="1">
      <alignment horizontal="left" vertical="center" indent="1"/>
    </xf>
    <xf numFmtId="0" fontId="22" fillId="0" borderId="69" xfId="1" applyFont="1" applyBorder="1" applyAlignment="1" applyProtection="1">
      <alignment horizontal="left" vertical="center" indent="1"/>
    </xf>
    <xf numFmtId="0" fontId="22" fillId="0" borderId="39" xfId="1" applyFont="1" applyBorder="1" applyAlignment="1" applyProtection="1">
      <alignment horizontal="left" vertical="center" indent="1"/>
    </xf>
    <xf numFmtId="0" fontId="22" fillId="0" borderId="71" xfId="1" applyFont="1" applyBorder="1" applyAlignment="1" applyProtection="1">
      <alignment horizontal="left" vertical="center" indent="1"/>
    </xf>
    <xf numFmtId="0" fontId="22" fillId="0" borderId="45" xfId="1" applyFont="1" applyBorder="1" applyAlignment="1" applyProtection="1">
      <alignment horizontal="left" vertical="center" indent="1"/>
    </xf>
    <xf numFmtId="0" fontId="22" fillId="0" borderId="43" xfId="1" applyFont="1" applyBorder="1" applyAlignment="1" applyProtection="1">
      <alignment horizontal="left" vertical="center" indent="1"/>
    </xf>
    <xf numFmtId="0" fontId="34" fillId="0" borderId="0" xfId="1" applyFont="1" applyFill="1" applyBorder="1" applyAlignment="1" applyProtection="1">
      <alignment vertical="center" readingOrder="2"/>
    </xf>
    <xf numFmtId="0" fontId="34" fillId="0" borderId="71" xfId="1" applyFont="1" applyFill="1" applyBorder="1" applyAlignment="1" applyProtection="1">
      <alignment vertical="center" readingOrder="2"/>
    </xf>
    <xf numFmtId="0" fontId="21" fillId="0" borderId="62" xfId="1" applyFont="1" applyBorder="1" applyAlignment="1" applyProtection="1">
      <alignment horizontal="center" vertical="center"/>
    </xf>
    <xf numFmtId="0" fontId="21" fillId="0" borderId="44" xfId="1" applyFont="1" applyBorder="1" applyAlignment="1" applyProtection="1">
      <alignment horizontal="center" vertical="center"/>
    </xf>
    <xf numFmtId="0" fontId="22" fillId="0" borderId="35" xfId="1" applyFont="1" applyBorder="1" applyAlignment="1" applyProtection="1">
      <alignment horizontal="center" vertical="center" readingOrder="1"/>
    </xf>
    <xf numFmtId="0" fontId="5" fillId="19" borderId="45" xfId="0" applyFont="1" applyFill="1" applyBorder="1" applyAlignment="1">
      <alignment horizontal="right" vertical="center" indent="1" readingOrder="1"/>
    </xf>
    <xf numFmtId="0" fontId="5" fillId="19" borderId="43" xfId="0" applyFont="1" applyFill="1" applyBorder="1" applyAlignment="1">
      <alignment horizontal="right" vertical="center" indent="1"/>
    </xf>
    <xf numFmtId="0" fontId="5" fillId="19" borderId="35" xfId="0" applyFont="1" applyFill="1" applyBorder="1" applyAlignment="1">
      <alignment horizontal="center" vertical="center"/>
    </xf>
    <xf numFmtId="0" fontId="43" fillId="19" borderId="39" xfId="0" applyFont="1" applyFill="1" applyBorder="1" applyAlignment="1">
      <alignment horizontal="right" vertical="center" indent="1"/>
    </xf>
    <xf numFmtId="0" fontId="43" fillId="19" borderId="45" xfId="0" applyFont="1" applyFill="1" applyBorder="1" applyAlignment="1">
      <alignment horizontal="right" vertical="center" indent="1"/>
    </xf>
    <xf numFmtId="0" fontId="44" fillId="0" borderId="0" xfId="2" applyAlignment="1" applyProtection="1"/>
    <xf numFmtId="0" fontId="5" fillId="0" borderId="0" xfId="2" applyFont="1" applyAlignment="1" applyProtection="1"/>
    <xf numFmtId="166" fontId="44" fillId="0" borderId="0" xfId="2" applyNumberFormat="1" applyAlignment="1" applyProtection="1">
      <alignment horizontal="center"/>
    </xf>
    <xf numFmtId="0" fontId="44" fillId="0" borderId="0" xfId="2" applyAlignment="1" applyProtection="1">
      <alignment horizontal="center"/>
    </xf>
    <xf numFmtId="166" fontId="44" fillId="0" borderId="0" xfId="2" applyNumberFormat="1" applyFont="1" applyAlignment="1" applyProtection="1">
      <alignment horizontal="center"/>
    </xf>
    <xf numFmtId="167" fontId="44" fillId="0" borderId="0" xfId="2" applyNumberFormat="1" applyAlignment="1" applyProtection="1">
      <alignment horizontal="center"/>
    </xf>
    <xf numFmtId="0" fontId="46" fillId="10" borderId="48" xfId="2" applyFont="1" applyFill="1" applyBorder="1" applyAlignment="1" applyProtection="1">
      <alignment horizontal="center" vertical="center" wrapText="1" readingOrder="2"/>
    </xf>
    <xf numFmtId="0" fontId="36" fillId="0" borderId="0" xfId="2" applyFont="1" applyBorder="1" applyAlignment="1" applyProtection="1">
      <alignment readingOrder="2"/>
    </xf>
    <xf numFmtId="166" fontId="5" fillId="28" borderId="35" xfId="2" applyNumberFormat="1" applyFont="1" applyFill="1" applyBorder="1" applyAlignment="1" applyProtection="1">
      <alignment horizontal="center"/>
    </xf>
    <xf numFmtId="166" fontId="5" fillId="29" borderId="35" xfId="2" applyNumberFormat="1" applyFont="1" applyFill="1" applyBorder="1" applyAlignment="1" applyProtection="1">
      <alignment horizontal="center"/>
    </xf>
    <xf numFmtId="167" fontId="5" fillId="30" borderId="35" xfId="2" applyNumberFormat="1" applyFont="1" applyFill="1" applyBorder="1" applyAlignment="1" applyProtection="1">
      <alignment horizontal="center" readingOrder="1"/>
    </xf>
    <xf numFmtId="0" fontId="5" fillId="30" borderId="48" xfId="2" applyFont="1" applyFill="1" applyBorder="1" applyAlignment="1" applyProtection="1">
      <alignment horizontal="center" readingOrder="1"/>
    </xf>
    <xf numFmtId="0" fontId="5" fillId="31" borderId="35" xfId="2" applyFont="1" applyFill="1" applyBorder="1" applyAlignment="1" applyProtection="1">
      <alignment horizontal="center" readingOrder="1"/>
    </xf>
    <xf numFmtId="0" fontId="5" fillId="32" borderId="35" xfId="2" applyFont="1" applyFill="1" applyBorder="1" applyAlignment="1" applyProtection="1">
      <alignment horizontal="center" readingOrder="1"/>
    </xf>
    <xf numFmtId="0" fontId="5" fillId="16" borderId="35" xfId="2" applyFont="1" applyFill="1" applyBorder="1" applyAlignment="1" applyProtection="1">
      <alignment horizontal="center" readingOrder="1"/>
    </xf>
    <xf numFmtId="0" fontId="5" fillId="10" borderId="35" xfId="2" applyFont="1" applyFill="1" applyBorder="1" applyAlignment="1" applyProtection="1">
      <alignment horizontal="center" vertical="center" readingOrder="1"/>
    </xf>
    <xf numFmtId="0" fontId="5" fillId="0" borderId="0" xfId="2" applyFont="1" applyBorder="1" applyAlignment="1" applyProtection="1">
      <alignment readingOrder="1"/>
    </xf>
    <xf numFmtId="0" fontId="48" fillId="27" borderId="35" xfId="2" applyFont="1" applyFill="1" applyBorder="1" applyAlignment="1" applyProtection="1">
      <alignment horizontal="center" vertical="center"/>
    </xf>
    <xf numFmtId="0" fontId="48" fillId="28" borderId="35" xfId="2" applyNumberFormat="1" applyFont="1" applyFill="1" applyBorder="1" applyAlignment="1" applyProtection="1">
      <alignment horizontal="center" vertical="center"/>
    </xf>
    <xf numFmtId="0" fontId="48" fillId="29" borderId="35" xfId="2" applyNumberFormat="1" applyFont="1" applyFill="1" applyBorder="1" applyAlignment="1" applyProtection="1">
      <alignment horizontal="center" vertical="center"/>
    </xf>
    <xf numFmtId="0" fontId="48" fillId="30" borderId="35" xfId="2" applyNumberFormat="1" applyFont="1" applyFill="1" applyBorder="1" applyAlignment="1" applyProtection="1">
      <alignment horizontal="center" vertical="center"/>
    </xf>
    <xf numFmtId="0" fontId="48" fillId="31" borderId="35" xfId="2" applyNumberFormat="1" applyFont="1" applyFill="1" applyBorder="1" applyAlignment="1" applyProtection="1">
      <alignment horizontal="center" vertical="center"/>
    </xf>
    <xf numFmtId="0" fontId="48" fillId="32" borderId="35" xfId="2" applyNumberFormat="1" applyFont="1" applyFill="1" applyBorder="1" applyAlignment="1" applyProtection="1">
      <alignment horizontal="center" vertical="center"/>
    </xf>
    <xf numFmtId="0" fontId="48" fillId="16" borderId="35" xfId="2" applyNumberFormat="1" applyFont="1" applyFill="1" applyBorder="1" applyAlignment="1" applyProtection="1">
      <alignment horizontal="center" vertical="center"/>
    </xf>
    <xf numFmtId="0" fontId="48" fillId="10" borderId="35" xfId="2" applyNumberFormat="1" applyFont="1" applyFill="1" applyBorder="1" applyAlignment="1" applyProtection="1">
      <alignment horizontal="center" vertical="center"/>
    </xf>
    <xf numFmtId="0" fontId="5" fillId="0" borderId="0" xfId="2" applyFont="1" applyBorder="1" applyAlignment="1" applyProtection="1">
      <alignment horizontal="center" readingOrder="1"/>
    </xf>
    <xf numFmtId="0" fontId="49" fillId="27" borderId="38" xfId="2" applyFont="1" applyFill="1" applyBorder="1" applyAlignment="1" applyProtection="1">
      <alignment horizontal="center" vertical="center"/>
    </xf>
    <xf numFmtId="166" fontId="44" fillId="28" borderId="38" xfId="2" applyNumberFormat="1" applyFill="1" applyBorder="1" applyAlignment="1" applyProtection="1">
      <alignment horizontal="center" vertical="center"/>
    </xf>
    <xf numFmtId="166" fontId="50" fillId="28" borderId="38" xfId="2" applyNumberFormat="1" applyFont="1" applyFill="1" applyBorder="1" applyAlignment="1" applyProtection="1">
      <alignment horizontal="center" vertical="center"/>
    </xf>
    <xf numFmtId="166" fontId="50" fillId="29" borderId="38" xfId="2" applyNumberFormat="1" applyFont="1" applyFill="1" applyBorder="1" applyAlignment="1" applyProtection="1">
      <alignment horizontal="center" vertical="center"/>
    </xf>
    <xf numFmtId="166" fontId="50" fillId="30" borderId="38" xfId="2" applyNumberFormat="1" applyFont="1" applyFill="1" applyBorder="1" applyAlignment="1" applyProtection="1">
      <alignment horizontal="center" vertical="center"/>
    </xf>
    <xf numFmtId="166" fontId="50" fillId="30" borderId="71" xfId="2" applyNumberFormat="1" applyFont="1" applyFill="1" applyBorder="1" applyAlignment="1" applyProtection="1">
      <alignment horizontal="center" vertical="center"/>
    </xf>
    <xf numFmtId="166" fontId="50" fillId="31" borderId="38" xfId="2" applyNumberFormat="1" applyFont="1" applyFill="1" applyBorder="1" applyAlignment="1" applyProtection="1">
      <alignment horizontal="center" vertical="center"/>
    </xf>
    <xf numFmtId="166" fontId="50" fillId="32" borderId="62" xfId="2" applyNumberFormat="1" applyFont="1" applyFill="1" applyBorder="1" applyAlignment="1" applyProtection="1">
      <alignment horizontal="center" vertical="center"/>
    </xf>
    <xf numFmtId="166" fontId="50" fillId="16" borderId="62" xfId="2" applyNumberFormat="1" applyFont="1" applyFill="1" applyBorder="1" applyAlignment="1" applyProtection="1">
      <alignment horizontal="center" vertical="center"/>
    </xf>
    <xf numFmtId="10" fontId="50" fillId="10" borderId="62" xfId="2" applyNumberFormat="1" applyFont="1" applyFill="1" applyBorder="1" applyAlignment="1" applyProtection="1">
      <alignment horizontal="center" vertical="center"/>
    </xf>
    <xf numFmtId="0" fontId="5" fillId="27" borderId="38" xfId="2" applyFont="1" applyFill="1" applyBorder="1" applyAlignment="1" applyProtection="1">
      <alignment horizontal="center"/>
    </xf>
    <xf numFmtId="166" fontId="44" fillId="28" borderId="38" xfId="2" applyNumberFormat="1" applyFill="1" applyBorder="1" applyAlignment="1" applyProtection="1">
      <alignment horizontal="center"/>
    </xf>
    <xf numFmtId="166" fontId="44" fillId="28" borderId="38" xfId="2" applyNumberFormat="1" applyFont="1" applyFill="1" applyBorder="1" applyAlignment="1" applyProtection="1">
      <alignment horizontal="center" readingOrder="1"/>
    </xf>
    <xf numFmtId="166" fontId="44" fillId="28" borderId="38" xfId="2" applyNumberFormat="1" applyFont="1" applyFill="1" applyBorder="1" applyAlignment="1" applyProtection="1">
      <alignment horizontal="center"/>
    </xf>
    <xf numFmtId="166" fontId="44" fillId="29" borderId="38" xfId="2" applyNumberFormat="1" applyFill="1" applyBorder="1" applyAlignment="1" applyProtection="1">
      <alignment horizontal="center"/>
    </xf>
    <xf numFmtId="166" fontId="44" fillId="29" borderId="38" xfId="2" applyNumberFormat="1" applyFont="1" applyFill="1" applyBorder="1" applyAlignment="1" applyProtection="1">
      <alignment horizontal="center" readingOrder="1"/>
    </xf>
    <xf numFmtId="167" fontId="44" fillId="30" borderId="38" xfId="2" applyNumberFormat="1" applyFill="1" applyBorder="1" applyAlignment="1" applyProtection="1">
      <alignment horizontal="center"/>
    </xf>
    <xf numFmtId="167" fontId="44" fillId="30" borderId="71" xfId="2" applyNumberFormat="1" applyFont="1" applyFill="1" applyBorder="1" applyAlignment="1" applyProtection="1">
      <alignment horizontal="center"/>
    </xf>
    <xf numFmtId="166" fontId="44" fillId="31" borderId="38" xfId="2" applyNumberFormat="1" applyFont="1" applyFill="1" applyBorder="1" applyAlignment="1" applyProtection="1">
      <alignment horizontal="center"/>
    </xf>
    <xf numFmtId="166" fontId="44" fillId="31" borderId="38" xfId="2" applyNumberFormat="1" applyFill="1" applyBorder="1" applyAlignment="1" applyProtection="1">
      <alignment horizontal="center"/>
    </xf>
    <xf numFmtId="166" fontId="44" fillId="32" borderId="38" xfId="2" applyNumberFormat="1" applyFill="1" applyBorder="1" applyAlignment="1" applyProtection="1">
      <alignment horizontal="center"/>
    </xf>
    <xf numFmtId="166" fontId="44" fillId="32" borderId="38" xfId="2" applyNumberFormat="1" applyFont="1" applyFill="1" applyBorder="1" applyAlignment="1" applyProtection="1">
      <alignment horizontal="center" readingOrder="1"/>
    </xf>
    <xf numFmtId="166" fontId="44" fillId="32" borderId="38" xfId="2" applyNumberFormat="1" applyFont="1" applyFill="1" applyBorder="1" applyAlignment="1" applyProtection="1">
      <alignment horizontal="center"/>
    </xf>
    <xf numFmtId="166" fontId="44" fillId="16" borderId="38" xfId="2" applyNumberFormat="1" applyFont="1" applyFill="1" applyBorder="1" applyAlignment="1" applyProtection="1">
      <alignment horizontal="center"/>
    </xf>
    <xf numFmtId="10" fontId="44" fillId="10" borderId="38" xfId="2" applyNumberFormat="1" applyFont="1" applyFill="1" applyBorder="1" applyAlignment="1" applyProtection="1">
      <alignment horizontal="center"/>
    </xf>
    <xf numFmtId="0" fontId="41" fillId="0" borderId="0" xfId="2" applyFont="1" applyBorder="1" applyAlignment="1" applyProtection="1">
      <alignment horizontal="center" readingOrder="1"/>
    </xf>
    <xf numFmtId="166" fontId="44" fillId="29" borderId="38" xfId="2" applyNumberFormat="1" applyFont="1" applyFill="1" applyBorder="1" applyAlignment="1" applyProtection="1">
      <alignment horizontal="center"/>
    </xf>
    <xf numFmtId="167" fontId="44" fillId="30" borderId="71" xfId="2" applyNumberFormat="1" applyFont="1" applyFill="1" applyBorder="1" applyAlignment="1" applyProtection="1">
      <alignment horizontal="center" readingOrder="1"/>
    </xf>
    <xf numFmtId="166" fontId="44" fillId="31" borderId="38" xfId="2" applyNumberFormat="1" applyFont="1" applyFill="1" applyBorder="1" applyAlignment="1" applyProtection="1">
      <alignment horizontal="center" readingOrder="1"/>
    </xf>
    <xf numFmtId="167" fontId="41" fillId="30" borderId="71" xfId="2" applyNumberFormat="1" applyFont="1" applyFill="1" applyBorder="1" applyAlignment="1" applyProtection="1">
      <alignment horizontal="center" readingOrder="1"/>
    </xf>
    <xf numFmtId="166" fontId="44" fillId="16" borderId="38" xfId="2" applyNumberFormat="1" applyFont="1" applyFill="1" applyBorder="1" applyAlignment="1" applyProtection="1">
      <alignment horizontal="center" readingOrder="1"/>
    </xf>
    <xf numFmtId="10" fontId="44" fillId="10" borderId="38" xfId="2" applyNumberFormat="1" applyFont="1" applyFill="1" applyBorder="1" applyAlignment="1" applyProtection="1">
      <alignment horizontal="center" readingOrder="1"/>
    </xf>
    <xf numFmtId="0" fontId="5" fillId="27" borderId="44" xfId="2" applyFont="1" applyFill="1" applyBorder="1" applyAlignment="1" applyProtection="1">
      <alignment horizontal="center"/>
    </xf>
    <xf numFmtId="166" fontId="44" fillId="28" borderId="44" xfId="2" applyNumberFormat="1" applyFill="1" applyBorder="1" applyAlignment="1" applyProtection="1">
      <alignment horizontal="center"/>
    </xf>
    <xf numFmtId="166" fontId="44" fillId="28" borderId="44" xfId="2" applyNumberFormat="1" applyFont="1" applyFill="1" applyBorder="1" applyAlignment="1" applyProtection="1">
      <alignment horizontal="center"/>
    </xf>
    <xf numFmtId="166" fontId="44" fillId="29" borderId="44" xfId="2" applyNumberFormat="1" applyFill="1" applyBorder="1" applyAlignment="1" applyProtection="1">
      <alignment horizontal="center"/>
    </xf>
    <xf numFmtId="166" fontId="44" fillId="29" borderId="44" xfId="2" applyNumberFormat="1" applyFont="1" applyFill="1" applyBorder="1" applyAlignment="1" applyProtection="1">
      <alignment horizontal="center"/>
    </xf>
    <xf numFmtId="167" fontId="44" fillId="30" borderId="44" xfId="2" applyNumberFormat="1" applyFill="1" applyBorder="1" applyAlignment="1" applyProtection="1">
      <alignment horizontal="center"/>
    </xf>
    <xf numFmtId="167" fontId="44" fillId="30" borderId="43" xfId="2" applyNumberFormat="1" applyFont="1" applyFill="1" applyBorder="1" applyAlignment="1" applyProtection="1">
      <alignment horizontal="center"/>
    </xf>
    <xf numFmtId="166" fontId="44" fillId="31" borderId="44" xfId="2" applyNumberFormat="1" applyFill="1" applyBorder="1" applyAlignment="1" applyProtection="1">
      <alignment horizontal="center"/>
    </xf>
    <xf numFmtId="166" fontId="44" fillId="32" borderId="44" xfId="2" applyNumberFormat="1" applyFill="1" applyBorder="1" applyAlignment="1" applyProtection="1">
      <alignment horizontal="center"/>
    </xf>
    <xf numFmtId="166" fontId="44" fillId="32" borderId="44" xfId="2" applyNumberFormat="1" applyFont="1" applyFill="1" applyBorder="1" applyAlignment="1" applyProtection="1">
      <alignment horizontal="center"/>
    </xf>
    <xf numFmtId="166" fontId="44" fillId="16" borderId="44" xfId="2" applyNumberFormat="1" applyFont="1" applyFill="1" applyBorder="1" applyAlignment="1" applyProtection="1">
      <alignment horizontal="center"/>
    </xf>
    <xf numFmtId="10" fontId="44" fillId="10" borderId="44" xfId="2" applyNumberFormat="1" applyFont="1" applyFill="1" applyBorder="1" applyAlignment="1" applyProtection="1">
      <alignment horizontal="center"/>
    </xf>
    <xf numFmtId="0" fontId="5" fillId="27" borderId="35" xfId="2" applyFont="1" applyFill="1" applyBorder="1" applyAlignment="1" applyProtection="1">
      <alignment horizontal="center"/>
    </xf>
    <xf numFmtId="0" fontId="5" fillId="10" borderId="35" xfId="2" applyFont="1" applyFill="1" applyBorder="1" applyAlignment="1" applyProtection="1">
      <alignment horizontal="center" readingOrder="1"/>
    </xf>
    <xf numFmtId="0" fontId="5" fillId="0" borderId="0" xfId="2" applyFont="1" applyAlignment="1" applyProtection="1">
      <alignment horizontal="center"/>
    </xf>
    <xf numFmtId="0" fontId="14" fillId="12" borderId="47" xfId="0" applyFont="1" applyFill="1" applyBorder="1" applyAlignment="1">
      <alignment horizontal="center"/>
    </xf>
    <xf numFmtId="0" fontId="23" fillId="12" borderId="7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/>
    </xf>
    <xf numFmtId="0" fontId="52" fillId="17" borderId="58" xfId="0" applyFont="1" applyFill="1" applyBorder="1" applyAlignment="1"/>
    <xf numFmtId="0" fontId="53" fillId="0" borderId="2" xfId="0" applyFont="1" applyBorder="1" applyAlignment="1">
      <alignment horizontal="center"/>
    </xf>
    <xf numFmtId="0" fontId="1" fillId="4" borderId="13" xfId="0" applyFont="1" applyFill="1" applyBorder="1" applyAlignment="1"/>
    <xf numFmtId="0" fontId="55" fillId="34" borderId="0" xfId="0" applyFont="1" applyFill="1" applyAlignment="1"/>
    <xf numFmtId="0" fontId="56" fillId="34" borderId="0" xfId="0" applyFont="1" applyFill="1">
      <alignment vertical="center"/>
    </xf>
    <xf numFmtId="0" fontId="59" fillId="33" borderId="35" xfId="0" applyFont="1" applyFill="1" applyBorder="1" applyAlignment="1" applyProtection="1">
      <alignment horizontal="center"/>
      <protection locked="0"/>
    </xf>
    <xf numFmtId="0" fontId="58" fillId="33" borderId="35" xfId="0" applyFont="1" applyFill="1" applyBorder="1" applyAlignment="1" applyProtection="1">
      <alignment horizontal="center" vertical="center"/>
      <protection locked="0"/>
    </xf>
    <xf numFmtId="0" fontId="60" fillId="34" borderId="0" xfId="0" applyFont="1" applyFill="1" applyAlignment="1">
      <alignment horizontal="center"/>
    </xf>
    <xf numFmtId="0" fontId="58" fillId="33" borderId="35" xfId="0" applyFont="1" applyFill="1" applyBorder="1" applyAlignment="1">
      <alignment horizontal="center" vertical="center"/>
    </xf>
    <xf numFmtId="0" fontId="58" fillId="33" borderId="35" xfId="0" applyFont="1" applyFill="1" applyBorder="1" applyAlignment="1" applyProtection="1">
      <alignment horizontal="center"/>
      <protection locked="0"/>
    </xf>
    <xf numFmtId="0" fontId="55" fillId="33" borderId="35" xfId="0" applyFont="1" applyFill="1" applyBorder="1" applyAlignment="1"/>
    <xf numFmtId="0" fontId="58" fillId="36" borderId="35" xfId="0" applyFont="1" applyFill="1" applyBorder="1" applyAlignment="1">
      <alignment horizontal="center"/>
    </xf>
    <xf numFmtId="0" fontId="59" fillId="36" borderId="35" xfId="0" applyFont="1" applyFill="1" applyBorder="1" applyAlignment="1">
      <alignment horizontal="left" vertical="center"/>
    </xf>
    <xf numFmtId="0" fontId="59" fillId="36" borderId="35" xfId="0" applyFont="1" applyFill="1" applyBorder="1" applyAlignment="1"/>
    <xf numFmtId="0" fontId="61" fillId="36" borderId="35" xfId="0" applyFont="1" applyFill="1" applyBorder="1" applyAlignment="1">
      <alignment horizontal="left" vertical="center"/>
    </xf>
    <xf numFmtId="0" fontId="58" fillId="36" borderId="35" xfId="0" applyFont="1" applyFill="1" applyBorder="1">
      <alignment vertical="center"/>
    </xf>
    <xf numFmtId="0" fontId="59" fillId="34" borderId="0" xfId="0" applyFont="1" applyFill="1" applyBorder="1" applyAlignment="1">
      <alignment horizontal="center" vertical="center"/>
    </xf>
    <xf numFmtId="0" fontId="59" fillId="34" borderId="0" xfId="0" applyFont="1" applyFill="1" applyBorder="1" applyAlignment="1">
      <alignment horizontal="left" vertical="center"/>
    </xf>
    <xf numFmtId="0" fontId="58" fillId="34" borderId="0" xfId="0" applyFont="1" applyFill="1" applyBorder="1" applyAlignment="1">
      <alignment horizontal="center"/>
    </xf>
    <xf numFmtId="0" fontId="58" fillId="34" borderId="0" xfId="0" applyFont="1" applyFill="1" applyBorder="1" applyAlignment="1"/>
    <xf numFmtId="0" fontId="58" fillId="33" borderId="12" xfId="0" applyFont="1" applyFill="1" applyBorder="1" applyAlignment="1">
      <alignment horizontal="left" vertical="center"/>
    </xf>
    <xf numFmtId="0" fontId="58" fillId="33" borderId="48" xfId="0" applyFont="1" applyFill="1" applyBorder="1" applyAlignment="1">
      <alignment horizontal="left" vertical="center"/>
    </xf>
    <xf numFmtId="0" fontId="58" fillId="33" borderId="12" xfId="0" applyFont="1" applyFill="1" applyBorder="1">
      <alignment vertical="center"/>
    </xf>
    <xf numFmtId="0" fontId="58" fillId="33" borderId="48" xfId="0" applyFont="1" applyFill="1" applyBorder="1">
      <alignment vertical="center"/>
    </xf>
    <xf numFmtId="0" fontId="57" fillId="34" borderId="0" xfId="0" applyFont="1" applyFill="1" applyAlignment="1">
      <alignment horizontal="center"/>
    </xf>
    <xf numFmtId="0" fontId="54" fillId="34" borderId="0" xfId="0" applyFont="1" applyFill="1" applyAlignment="1">
      <alignment horizontal="center"/>
    </xf>
    <xf numFmtId="0" fontId="58" fillId="34" borderId="0" xfId="0" applyFont="1" applyFill="1" applyBorder="1" applyAlignment="1">
      <alignment horizontal="center"/>
    </xf>
    <xf numFmtId="0" fontId="58" fillId="36" borderId="35" xfId="0" applyFont="1" applyFill="1" applyBorder="1" applyAlignment="1">
      <alignment horizontal="left"/>
    </xf>
    <xf numFmtId="0" fontId="58" fillId="33" borderId="35" xfId="0" applyNumberFormat="1" applyFont="1" applyFill="1" applyBorder="1" applyAlignment="1">
      <alignment horizontal="center" vertical="center"/>
    </xf>
    <xf numFmtId="0" fontId="62" fillId="35" borderId="35" xfId="0" applyFont="1" applyFill="1" applyBorder="1" applyAlignment="1">
      <alignment horizontal="center"/>
    </xf>
    <xf numFmtId="21" fontId="58" fillId="36" borderId="35" xfId="0" applyNumberFormat="1" applyFont="1" applyFill="1" applyBorder="1" applyAlignment="1">
      <alignment horizontal="left"/>
    </xf>
    <xf numFmtId="0" fontId="61" fillId="36" borderId="35" xfId="0" applyFont="1" applyFill="1" applyBorder="1" applyAlignment="1">
      <alignment horizontal="left"/>
    </xf>
    <xf numFmtId="10" fontId="58" fillId="36" borderId="35" xfId="0" applyNumberFormat="1" applyFont="1" applyFill="1" applyBorder="1" applyAlignment="1">
      <alignment horizontal="left"/>
    </xf>
    <xf numFmtId="0" fontId="10" fillId="7" borderId="3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3" fillId="6" borderId="19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12" borderId="35" xfId="0" applyNumberFormat="1" applyFont="1" applyFill="1" applyBorder="1" applyAlignment="1">
      <alignment horizontal="center"/>
    </xf>
    <xf numFmtId="0" fontId="3" fillId="12" borderId="36" xfId="0" applyNumberFormat="1" applyFont="1" applyFill="1" applyBorder="1" applyAlignment="1">
      <alignment horizontal="center"/>
    </xf>
    <xf numFmtId="0" fontId="27" fillId="17" borderId="35" xfId="0" applyFont="1" applyFill="1" applyBorder="1" applyAlignment="1">
      <alignment horizontal="left"/>
    </xf>
    <xf numFmtId="0" fontId="4" fillId="13" borderId="35" xfId="0" applyFont="1" applyFill="1" applyBorder="1" applyAlignment="1">
      <alignment horizontal="center"/>
    </xf>
    <xf numFmtId="0" fontId="4" fillId="13" borderId="36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3" fillId="6" borderId="57" xfId="0" applyFont="1" applyFill="1" applyBorder="1" applyAlignment="1">
      <alignment horizontal="center"/>
    </xf>
    <xf numFmtId="0" fontId="26" fillId="14" borderId="48" xfId="0" applyFont="1" applyFill="1" applyBorder="1" applyAlignment="1">
      <alignment horizontal="right" vertical="center"/>
    </xf>
    <xf numFmtId="0" fontId="26" fillId="14" borderId="35" xfId="0" applyFont="1" applyFill="1" applyBorder="1" applyAlignment="1">
      <alignment horizontal="right" vertical="center"/>
    </xf>
    <xf numFmtId="0" fontId="3" fillId="17" borderId="35" xfId="0" applyFont="1" applyFill="1" applyBorder="1" applyAlignment="1">
      <alignment horizontal="center"/>
    </xf>
    <xf numFmtId="0" fontId="3" fillId="17" borderId="36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48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48" xfId="0" applyFont="1" applyFill="1" applyBorder="1" applyAlignment="1">
      <alignment horizontal="center"/>
    </xf>
    <xf numFmtId="0" fontId="26" fillId="14" borderId="48" xfId="0" applyFont="1" applyFill="1" applyBorder="1" applyAlignment="1">
      <alignment horizontal="left"/>
    </xf>
    <xf numFmtId="0" fontId="26" fillId="14" borderId="35" xfId="0" applyFont="1" applyFill="1" applyBorder="1" applyAlignment="1">
      <alignment horizontal="left"/>
    </xf>
    <xf numFmtId="0" fontId="1" fillId="0" borderId="3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6" fillId="11" borderId="31" xfId="1" applyFont="1" applyFill="1" applyBorder="1" applyAlignment="1" applyProtection="1">
      <alignment horizontal="center" vertical="center"/>
    </xf>
    <xf numFmtId="0" fontId="16" fillId="11" borderId="35" xfId="1" applyFont="1" applyFill="1" applyBorder="1" applyAlignment="1" applyProtection="1">
      <alignment horizontal="center" vertical="center"/>
    </xf>
    <xf numFmtId="0" fontId="3" fillId="7" borderId="58" xfId="0" applyFont="1" applyFill="1" applyBorder="1" applyAlignment="1">
      <alignment horizontal="center"/>
    </xf>
    <xf numFmtId="0" fontId="3" fillId="7" borderId="57" xfId="0" applyFont="1" applyFill="1" applyBorder="1" applyAlignment="1">
      <alignment horizontal="center"/>
    </xf>
    <xf numFmtId="0" fontId="1" fillId="8" borderId="54" xfId="0" applyFont="1" applyFill="1" applyBorder="1" applyAlignment="1">
      <alignment horizontal="center" vertical="center"/>
    </xf>
    <xf numFmtId="0" fontId="1" fillId="8" borderId="55" xfId="0" applyFont="1" applyFill="1" applyBorder="1" applyAlignment="1">
      <alignment horizontal="center" vertical="center"/>
    </xf>
    <xf numFmtId="0" fontId="4" fillId="8" borderId="5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/>
    </xf>
    <xf numFmtId="0" fontId="2" fillId="9" borderId="35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58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5" fillId="9" borderId="19" xfId="0" applyFont="1" applyFill="1" applyBorder="1" applyAlignment="1">
      <alignment horizontal="center"/>
    </xf>
    <xf numFmtId="0" fontId="15" fillId="9" borderId="33" xfId="0" applyFont="1" applyFill="1" applyBorder="1" applyAlignment="1">
      <alignment horizontal="center"/>
    </xf>
    <xf numFmtId="0" fontId="15" fillId="9" borderId="2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" fillId="6" borderId="35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right"/>
    </xf>
    <xf numFmtId="0" fontId="3" fillId="7" borderId="58" xfId="0" applyFont="1" applyFill="1" applyBorder="1" applyAlignment="1">
      <alignment horizontal="right"/>
    </xf>
    <xf numFmtId="0" fontId="3" fillId="7" borderId="57" xfId="0" applyFont="1" applyFill="1" applyBorder="1" applyAlignment="1">
      <alignment horizontal="right"/>
    </xf>
    <xf numFmtId="0" fontId="4" fillId="6" borderId="35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48" xfId="0" applyFont="1" applyFill="1" applyBorder="1" applyAlignment="1">
      <alignment horizontal="center"/>
    </xf>
    <xf numFmtId="0" fontId="1" fillId="6" borderId="51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4" fillId="17" borderId="62" xfId="0" applyFont="1" applyFill="1" applyBorder="1" applyAlignment="1">
      <alignment horizontal="right"/>
    </xf>
    <xf numFmtId="0" fontId="3" fillId="0" borderId="14" xfId="0" applyFont="1" applyFill="1" applyBorder="1" applyAlignment="1">
      <alignment horizontal="left" vertical="center"/>
    </xf>
    <xf numFmtId="0" fontId="3" fillId="0" borderId="63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26" fillId="14" borderId="17" xfId="0" applyFont="1" applyFill="1" applyBorder="1" applyAlignment="1">
      <alignment horizontal="left" vertical="center"/>
    </xf>
    <xf numFmtId="0" fontId="26" fillId="14" borderId="58" xfId="0" applyFont="1" applyFill="1" applyBorder="1" applyAlignment="1">
      <alignment horizontal="left" vertical="center"/>
    </xf>
    <xf numFmtId="0" fontId="26" fillId="14" borderId="57" xfId="0" applyFont="1" applyFill="1" applyBorder="1" applyAlignment="1">
      <alignment horizontal="left" vertical="center"/>
    </xf>
    <xf numFmtId="0" fontId="27" fillId="17" borderId="62" xfId="0" applyFont="1" applyFill="1" applyBorder="1" applyAlignment="1">
      <alignment horizontal="left"/>
    </xf>
    <xf numFmtId="0" fontId="4" fillId="17" borderId="35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0" borderId="50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48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4" fillId="8" borderId="50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1" fillId="13" borderId="35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0" fontId="26" fillId="8" borderId="35" xfId="0" applyFont="1" applyFill="1" applyBorder="1" applyAlignment="1">
      <alignment horizontal="left"/>
    </xf>
    <xf numFmtId="0" fontId="26" fillId="8" borderId="36" xfId="0" applyFont="1" applyFill="1" applyBorder="1" applyAlignment="1">
      <alignment horizontal="left"/>
    </xf>
    <xf numFmtId="0" fontId="27" fillId="0" borderId="44" xfId="0" applyFont="1" applyBorder="1" applyAlignment="1">
      <alignment horizontal="left"/>
    </xf>
    <xf numFmtId="0" fontId="27" fillId="0" borderId="34" xfId="0" applyFont="1" applyBorder="1" applyAlignment="1">
      <alignment horizontal="left"/>
    </xf>
    <xf numFmtId="0" fontId="3" fillId="17" borderId="12" xfId="0" applyFont="1" applyFill="1" applyBorder="1" applyAlignment="1">
      <alignment horizontal="center"/>
    </xf>
    <xf numFmtId="0" fontId="3" fillId="17" borderId="48" xfId="0" applyFont="1" applyFill="1" applyBorder="1" applyAlignment="1">
      <alignment horizontal="center"/>
    </xf>
    <xf numFmtId="0" fontId="3" fillId="17" borderId="31" xfId="0" applyFont="1" applyFill="1" applyBorder="1" applyAlignment="1">
      <alignment horizontal="center"/>
    </xf>
    <xf numFmtId="0" fontId="3" fillId="17" borderId="3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3" fillId="17" borderId="57" xfId="0" applyFont="1" applyFill="1" applyBorder="1" applyAlignment="1">
      <alignment horizontal="center"/>
    </xf>
    <xf numFmtId="0" fontId="3" fillId="17" borderId="61" xfId="0" applyFont="1" applyFill="1" applyBorder="1" applyAlignment="1">
      <alignment horizontal="center"/>
    </xf>
    <xf numFmtId="0" fontId="3" fillId="14" borderId="12" xfId="0" applyFont="1" applyFill="1" applyBorder="1" applyAlignment="1">
      <alignment horizontal="center"/>
    </xf>
    <xf numFmtId="0" fontId="3" fillId="14" borderId="48" xfId="0" applyFont="1" applyFill="1" applyBorder="1" applyAlignment="1">
      <alignment horizontal="center"/>
    </xf>
    <xf numFmtId="0" fontId="26" fillId="16" borderId="3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3" fillId="13" borderId="67" xfId="0" applyFont="1" applyFill="1" applyBorder="1" applyAlignment="1">
      <alignment horizontal="center"/>
    </xf>
    <xf numFmtId="0" fontId="3" fillId="13" borderId="68" xfId="0" applyFon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left" vertical="center"/>
    </xf>
    <xf numFmtId="0" fontId="4" fillId="17" borderId="14" xfId="0" applyFont="1" applyFill="1" applyBorder="1" applyAlignment="1">
      <alignment horizontal="center" vertical="center"/>
    </xf>
    <xf numFmtId="0" fontId="4" fillId="17" borderId="46" xfId="0" applyFont="1" applyFill="1" applyBorder="1" applyAlignment="1">
      <alignment horizontal="center" vertical="center"/>
    </xf>
    <xf numFmtId="0" fontId="3" fillId="12" borderId="35" xfId="0" applyFont="1" applyFill="1" applyBorder="1" applyAlignment="1">
      <alignment horizontal="center"/>
    </xf>
    <xf numFmtId="0" fontId="3" fillId="12" borderId="36" xfId="0" applyFont="1" applyFill="1" applyBorder="1" applyAlignment="1">
      <alignment horizontal="center"/>
    </xf>
    <xf numFmtId="0" fontId="3" fillId="14" borderId="35" xfId="0" applyFont="1" applyFill="1" applyBorder="1" applyAlignment="1">
      <alignment horizontal="center"/>
    </xf>
    <xf numFmtId="0" fontId="3" fillId="14" borderId="36" xfId="0" applyFont="1" applyFill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3" fillId="16" borderId="48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13" borderId="63" xfId="0" applyFont="1" applyFill="1" applyBorder="1" applyAlignment="1">
      <alignment horizontal="center"/>
    </xf>
    <xf numFmtId="0" fontId="1" fillId="13" borderId="64" xfId="0" applyFont="1" applyFill="1" applyBorder="1" applyAlignment="1">
      <alignment horizontal="center"/>
    </xf>
    <xf numFmtId="0" fontId="3" fillId="17" borderId="44" xfId="0" applyFont="1" applyFill="1" applyBorder="1" applyAlignment="1">
      <alignment horizontal="center"/>
    </xf>
    <xf numFmtId="0" fontId="3" fillId="17" borderId="34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3" fillId="13" borderId="18" xfId="0" applyFont="1" applyFill="1" applyBorder="1" applyAlignment="1">
      <alignment horizontal="center"/>
    </xf>
    <xf numFmtId="0" fontId="25" fillId="15" borderId="19" xfId="0" applyFont="1" applyFill="1" applyBorder="1" applyAlignment="1">
      <alignment horizontal="center" vertical="center"/>
    </xf>
    <xf numFmtId="0" fontId="25" fillId="15" borderId="33" xfId="0" applyFont="1" applyFill="1" applyBorder="1" applyAlignment="1">
      <alignment horizontal="center" vertical="center"/>
    </xf>
    <xf numFmtId="0" fontId="25" fillId="15" borderId="20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left" vertical="center"/>
    </xf>
    <xf numFmtId="0" fontId="26" fillId="6" borderId="9" xfId="0" applyFont="1" applyFill="1" applyBorder="1" applyAlignment="1">
      <alignment horizontal="left" vertical="center"/>
    </xf>
    <xf numFmtId="0" fontId="26" fillId="6" borderId="10" xfId="0" applyFont="1" applyFill="1" applyBorder="1" applyAlignment="1">
      <alignment horizontal="left" vertical="center"/>
    </xf>
    <xf numFmtId="0" fontId="4" fillId="16" borderId="14" xfId="0" applyFont="1" applyFill="1" applyBorder="1" applyAlignment="1">
      <alignment horizontal="center" vertical="center"/>
    </xf>
    <xf numFmtId="0" fontId="4" fillId="16" borderId="64" xfId="0" applyFont="1" applyFill="1" applyBorder="1" applyAlignment="1">
      <alignment horizontal="center" vertical="center"/>
    </xf>
    <xf numFmtId="0" fontId="26" fillId="13" borderId="9" xfId="0" applyFont="1" applyFill="1" applyBorder="1" applyAlignment="1">
      <alignment horizontal="left"/>
    </xf>
    <xf numFmtId="0" fontId="26" fillId="13" borderId="66" xfId="0" applyFont="1" applyFill="1" applyBorder="1" applyAlignment="1">
      <alignment horizontal="left"/>
    </xf>
    <xf numFmtId="0" fontId="26" fillId="14" borderId="44" xfId="0" applyFont="1" applyFill="1" applyBorder="1" applyAlignment="1">
      <alignment horizontal="center"/>
    </xf>
    <xf numFmtId="0" fontId="3" fillId="13" borderId="41" xfId="0" applyFont="1" applyFill="1" applyBorder="1" applyAlignment="1">
      <alignment horizontal="center"/>
    </xf>
    <xf numFmtId="0" fontId="3" fillId="13" borderId="70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1" fillId="17" borderId="35" xfId="0" applyFont="1" applyFill="1" applyBorder="1" applyAlignment="1">
      <alignment horizontal="center"/>
    </xf>
    <xf numFmtId="0" fontId="27" fillId="17" borderId="35" xfId="0" applyFont="1" applyFill="1" applyBorder="1" applyAlignment="1">
      <alignment horizontal="center"/>
    </xf>
    <xf numFmtId="0" fontId="3" fillId="16" borderId="31" xfId="0" applyFont="1" applyFill="1" applyBorder="1" applyAlignment="1">
      <alignment horizontal="center"/>
    </xf>
    <xf numFmtId="0" fontId="3" fillId="16" borderId="32" xfId="0" applyFont="1" applyFill="1" applyBorder="1" applyAlignment="1">
      <alignment horizontal="center"/>
    </xf>
    <xf numFmtId="0" fontId="3" fillId="13" borderId="35" xfId="0" applyFont="1" applyFill="1" applyBorder="1" applyAlignment="1">
      <alignment horizontal="center"/>
    </xf>
    <xf numFmtId="0" fontId="3" fillId="12" borderId="62" xfId="0" applyFont="1" applyFill="1" applyBorder="1" applyAlignment="1">
      <alignment horizontal="center"/>
    </xf>
    <xf numFmtId="0" fontId="3" fillId="12" borderId="53" xfId="0" applyFont="1" applyFill="1" applyBorder="1" applyAlignment="1">
      <alignment horizontal="center"/>
    </xf>
    <xf numFmtId="21" fontId="3" fillId="12" borderId="38" xfId="0" applyNumberFormat="1" applyFont="1" applyFill="1" applyBorder="1" applyAlignment="1">
      <alignment horizontal="center"/>
    </xf>
    <xf numFmtId="0" fontId="1" fillId="8" borderId="50" xfId="0" applyFont="1" applyFill="1" applyBorder="1" applyAlignment="1">
      <alignment horizontal="center"/>
    </xf>
    <xf numFmtId="0" fontId="3" fillId="17" borderId="13" xfId="0" applyFont="1" applyFill="1" applyBorder="1" applyAlignment="1">
      <alignment horizontal="center"/>
    </xf>
    <xf numFmtId="0" fontId="3" fillId="16" borderId="29" xfId="0" applyFont="1" applyFill="1" applyBorder="1" applyAlignment="1">
      <alignment horizontal="center"/>
    </xf>
    <xf numFmtId="0" fontId="3" fillId="16" borderId="66" xfId="0" applyFont="1" applyFill="1" applyBorder="1" applyAlignment="1">
      <alignment horizontal="center"/>
    </xf>
    <xf numFmtId="0" fontId="2" fillId="9" borderId="37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3" fillId="16" borderId="17" xfId="0" applyFont="1" applyFill="1" applyBorder="1" applyAlignment="1">
      <alignment horizontal="center"/>
    </xf>
    <xf numFmtId="0" fontId="3" fillId="16" borderId="57" xfId="0" applyFont="1" applyFill="1" applyBorder="1" applyAlignment="1">
      <alignment horizontal="center"/>
    </xf>
    <xf numFmtId="0" fontId="26" fillId="7" borderId="29" xfId="0" applyFont="1" applyFill="1" applyBorder="1" applyAlignment="1">
      <alignment horizontal="left"/>
    </xf>
    <xf numFmtId="0" fontId="26" fillId="7" borderId="9" xfId="0" applyFont="1" applyFill="1" applyBorder="1" applyAlignment="1">
      <alignment horizontal="left"/>
    </xf>
    <xf numFmtId="0" fontId="26" fillId="7" borderId="10" xfId="0" applyFont="1" applyFill="1" applyBorder="1" applyAlignment="1">
      <alignment horizontal="left"/>
    </xf>
    <xf numFmtId="0" fontId="9" fillId="11" borderId="16" xfId="0" applyFont="1" applyFill="1" applyBorder="1" applyAlignment="1">
      <alignment horizontal="center"/>
    </xf>
    <xf numFmtId="0" fontId="9" fillId="11" borderId="60" xfId="0" applyFont="1" applyFill="1" applyBorder="1" applyAlignment="1">
      <alignment horizontal="center"/>
    </xf>
    <xf numFmtId="0" fontId="1" fillId="8" borderId="35" xfId="0" applyFont="1" applyFill="1" applyBorder="1" applyAlignment="1">
      <alignment horizontal="center"/>
    </xf>
    <xf numFmtId="0" fontId="1" fillId="8" borderId="36" xfId="0" applyFont="1" applyFill="1" applyBorder="1" applyAlignment="1">
      <alignment horizontal="center"/>
    </xf>
    <xf numFmtId="0" fontId="3" fillId="14" borderId="60" xfId="0" applyFont="1" applyFill="1" applyBorder="1" applyAlignment="1">
      <alignment horizontal="center"/>
    </xf>
    <xf numFmtId="0" fontId="3" fillId="14" borderId="61" xfId="0" applyFont="1" applyFill="1" applyBorder="1" applyAlignment="1">
      <alignment horizontal="center"/>
    </xf>
    <xf numFmtId="21" fontId="3" fillId="14" borderId="35" xfId="0" applyNumberFormat="1" applyFont="1" applyFill="1" applyBorder="1" applyAlignment="1">
      <alignment horizontal="center" vertical="center"/>
    </xf>
    <xf numFmtId="0" fontId="16" fillId="11" borderId="28" xfId="1" applyFont="1" applyFill="1" applyBorder="1" applyAlignment="1" applyProtection="1">
      <alignment horizontal="center" vertical="center"/>
    </xf>
    <xf numFmtId="0" fontId="16" fillId="11" borderId="11" xfId="1" applyFont="1" applyFill="1" applyBorder="1" applyAlignment="1" applyProtection="1">
      <alignment horizontal="center" vertical="center"/>
    </xf>
    <xf numFmtId="21" fontId="3" fillId="8" borderId="17" xfId="0" applyNumberFormat="1" applyFont="1" applyFill="1" applyBorder="1" applyAlignment="1">
      <alignment horizontal="center" vertical="center"/>
    </xf>
    <xf numFmtId="21" fontId="3" fillId="8" borderId="18" xfId="0" applyNumberFormat="1" applyFont="1" applyFill="1" applyBorder="1" applyAlignment="1">
      <alignment horizontal="center" vertical="center"/>
    </xf>
    <xf numFmtId="0" fontId="3" fillId="13" borderId="62" xfId="0" applyFont="1" applyFill="1" applyBorder="1" applyAlignment="1">
      <alignment horizontal="center"/>
    </xf>
    <xf numFmtId="0" fontId="3" fillId="13" borderId="53" xfId="0" applyFont="1" applyFill="1" applyBorder="1" applyAlignment="1">
      <alignment horizontal="center"/>
    </xf>
    <xf numFmtId="0" fontId="3" fillId="13" borderId="31" xfId="0" applyFont="1" applyFill="1" applyBorder="1" applyAlignment="1">
      <alignment horizontal="center"/>
    </xf>
    <xf numFmtId="0" fontId="3" fillId="13" borderId="32" xfId="0" applyFont="1" applyFill="1" applyBorder="1" applyAlignment="1">
      <alignment horizontal="center"/>
    </xf>
    <xf numFmtId="0" fontId="3" fillId="17" borderId="45" xfId="0" applyFont="1" applyFill="1" applyBorder="1" applyAlignment="1">
      <alignment horizontal="center"/>
    </xf>
    <xf numFmtId="0" fontId="3" fillId="17" borderId="43" xfId="0" applyFont="1" applyFill="1" applyBorder="1" applyAlignment="1">
      <alignment horizontal="center"/>
    </xf>
    <xf numFmtId="21" fontId="1" fillId="0" borderId="0" xfId="0" applyNumberFormat="1" applyFont="1" applyFill="1" applyBorder="1" applyAlignment="1">
      <alignment horizontal="center"/>
    </xf>
    <xf numFmtId="0" fontId="3" fillId="13" borderId="60" xfId="0" applyFont="1" applyFill="1" applyBorder="1" applyAlignment="1">
      <alignment horizontal="right"/>
    </xf>
    <xf numFmtId="0" fontId="3" fillId="17" borderId="17" xfId="0" applyFont="1" applyFill="1" applyBorder="1" applyAlignment="1">
      <alignment horizontal="center"/>
    </xf>
    <xf numFmtId="0" fontId="25" fillId="10" borderId="24" xfId="0" applyFont="1" applyFill="1" applyBorder="1" applyAlignment="1">
      <alignment horizontal="center"/>
    </xf>
    <xf numFmtId="0" fontId="25" fillId="10" borderId="25" xfId="0" applyFont="1" applyFill="1" applyBorder="1" applyAlignment="1">
      <alignment horizontal="center"/>
    </xf>
    <xf numFmtId="0" fontId="25" fillId="10" borderId="26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center" vertical="center"/>
    </xf>
    <xf numFmtId="0" fontId="9" fillId="11" borderId="35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/>
    </xf>
    <xf numFmtId="0" fontId="4" fillId="7" borderId="63" xfId="0" applyFont="1" applyFill="1" applyBorder="1" applyAlignment="1">
      <alignment horizontal="center"/>
    </xf>
    <xf numFmtId="0" fontId="4" fillId="7" borderId="64" xfId="0" applyFont="1" applyFill="1" applyBorder="1" applyAlignment="1">
      <alignment horizontal="center"/>
    </xf>
    <xf numFmtId="0" fontId="27" fillId="13" borderId="54" xfId="0" applyFont="1" applyFill="1" applyBorder="1" applyAlignment="1">
      <alignment horizontal="left" vertical="center"/>
    </xf>
    <xf numFmtId="0" fontId="27" fillId="13" borderId="52" xfId="0" applyFont="1" applyFill="1" applyBorder="1" applyAlignment="1">
      <alignment horizontal="left" vertical="center"/>
    </xf>
    <xf numFmtId="0" fontId="27" fillId="13" borderId="69" xfId="0" applyFont="1" applyFill="1" applyBorder="1" applyAlignment="1">
      <alignment horizontal="left" vertical="center"/>
    </xf>
    <xf numFmtId="0" fontId="27" fillId="13" borderId="41" xfId="0" applyFont="1" applyFill="1" applyBorder="1" applyAlignment="1">
      <alignment horizontal="left" vertical="center"/>
    </xf>
    <xf numFmtId="0" fontId="27" fillId="13" borderId="21" xfId="0" applyFont="1" applyFill="1" applyBorder="1" applyAlignment="1">
      <alignment horizontal="left" vertical="center"/>
    </xf>
    <xf numFmtId="0" fontId="27" fillId="13" borderId="70" xfId="0" applyFont="1" applyFill="1" applyBorder="1" applyAlignment="1">
      <alignment horizontal="left" vertical="center"/>
    </xf>
    <xf numFmtId="0" fontId="27" fillId="17" borderId="17" xfId="0" applyFont="1" applyFill="1" applyBorder="1" applyAlignment="1">
      <alignment horizontal="left"/>
    </xf>
    <xf numFmtId="0" fontId="27" fillId="17" borderId="58" xfId="0" applyFont="1" applyFill="1" applyBorder="1" applyAlignment="1">
      <alignment horizontal="left"/>
    </xf>
    <xf numFmtId="0" fontId="3" fillId="13" borderId="14" xfId="0" applyFont="1" applyFill="1" applyBorder="1" applyAlignment="1">
      <alignment horizontal="center" vertical="center"/>
    </xf>
    <xf numFmtId="0" fontId="3" fillId="13" borderId="64" xfId="0" applyFont="1" applyFill="1" applyBorder="1" applyAlignment="1">
      <alignment horizontal="center" vertical="center"/>
    </xf>
    <xf numFmtId="0" fontId="27" fillId="17" borderId="31" xfId="0" applyFont="1" applyFill="1" applyBorder="1" applyAlignment="1">
      <alignment horizontal="left"/>
    </xf>
    <xf numFmtId="0" fontId="1" fillId="7" borderId="50" xfId="0" applyFont="1" applyFill="1" applyBorder="1" applyAlignment="1">
      <alignment horizontal="center"/>
    </xf>
    <xf numFmtId="0" fontId="3" fillId="7" borderId="60" xfId="0" applyFont="1" applyFill="1" applyBorder="1" applyAlignment="1">
      <alignment horizontal="center"/>
    </xf>
    <xf numFmtId="0" fontId="3" fillId="7" borderId="61" xfId="0" applyFont="1" applyFill="1" applyBorder="1" applyAlignment="1">
      <alignment horizontal="center"/>
    </xf>
    <xf numFmtId="0" fontId="27" fillId="13" borderId="31" xfId="0" applyFont="1" applyFill="1" applyBorder="1" applyAlignment="1">
      <alignment horizontal="left"/>
    </xf>
    <xf numFmtId="0" fontId="27" fillId="13" borderId="32" xfId="0" applyFont="1" applyFill="1" applyBorder="1" applyAlignment="1">
      <alignment horizontal="left"/>
    </xf>
    <xf numFmtId="0" fontId="4" fillId="7" borderId="50" xfId="0" applyFont="1" applyFill="1" applyBorder="1" applyAlignment="1">
      <alignment horizontal="center"/>
    </xf>
    <xf numFmtId="21" fontId="6" fillId="0" borderId="0" xfId="0" applyNumberFormat="1" applyFont="1" applyAlignment="1">
      <alignment horizontal="left"/>
    </xf>
    <xf numFmtId="0" fontId="1" fillId="17" borderId="12" xfId="0" applyFont="1" applyFill="1" applyBorder="1" applyAlignment="1">
      <alignment horizontal="center"/>
    </xf>
    <xf numFmtId="0" fontId="1" fillId="17" borderId="48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right"/>
    </xf>
    <xf numFmtId="0" fontId="3" fillId="8" borderId="58" xfId="0" applyFont="1" applyFill="1" applyBorder="1" applyAlignment="1">
      <alignment horizontal="right"/>
    </xf>
    <xf numFmtId="0" fontId="3" fillId="8" borderId="57" xfId="0" applyFont="1" applyFill="1" applyBorder="1" applyAlignment="1">
      <alignment horizontal="right"/>
    </xf>
    <xf numFmtId="0" fontId="4" fillId="17" borderId="14" xfId="0" applyFont="1" applyFill="1" applyBorder="1" applyAlignment="1">
      <alignment horizontal="center"/>
    </xf>
    <xf numFmtId="0" fontId="4" fillId="17" borderId="63" xfId="0" applyFont="1" applyFill="1" applyBorder="1" applyAlignment="1">
      <alignment horizontal="center"/>
    </xf>
    <xf numFmtId="0" fontId="4" fillId="17" borderId="46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63" xfId="0" applyFont="1" applyFill="1" applyBorder="1" applyAlignment="1">
      <alignment horizontal="center"/>
    </xf>
    <xf numFmtId="0" fontId="1" fillId="7" borderId="64" xfId="0" applyFont="1" applyFill="1" applyBorder="1" applyAlignment="1">
      <alignment horizontal="center"/>
    </xf>
    <xf numFmtId="0" fontId="4" fillId="17" borderId="62" xfId="0" applyFont="1" applyFill="1" applyBorder="1" applyAlignment="1">
      <alignment horizontal="center" vertical="center"/>
    </xf>
    <xf numFmtId="0" fontId="4" fillId="17" borderId="44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/>
    </xf>
    <xf numFmtId="0" fontId="16" fillId="11" borderId="31" xfId="1" applyFont="1" applyFill="1" applyBorder="1" applyAlignment="1" applyProtection="1">
      <alignment horizontal="center" vertical="center" wrapText="1"/>
    </xf>
    <xf numFmtId="0" fontId="3" fillId="17" borderId="67" xfId="0" applyFont="1" applyFill="1" applyBorder="1" applyAlignment="1">
      <alignment horizontal="center"/>
    </xf>
    <xf numFmtId="0" fontId="3" fillId="17" borderId="68" xfId="0" applyFont="1" applyFill="1" applyBorder="1" applyAlignment="1">
      <alignment horizontal="center"/>
    </xf>
    <xf numFmtId="0" fontId="4" fillId="17" borderId="12" xfId="0" applyFont="1" applyFill="1" applyBorder="1" applyAlignment="1">
      <alignment horizontal="center"/>
    </xf>
    <xf numFmtId="0" fontId="4" fillId="17" borderId="50" xfId="0" applyFont="1" applyFill="1" applyBorder="1" applyAlignment="1">
      <alignment horizontal="center"/>
    </xf>
    <xf numFmtId="0" fontId="4" fillId="17" borderId="48" xfId="0" applyFont="1" applyFill="1" applyBorder="1" applyAlignment="1">
      <alignment horizontal="center"/>
    </xf>
    <xf numFmtId="0" fontId="3" fillId="13" borderId="60" xfId="0" applyFont="1" applyFill="1" applyBorder="1" applyAlignment="1">
      <alignment horizontal="center"/>
    </xf>
    <xf numFmtId="0" fontId="3" fillId="13" borderId="61" xfId="0" applyFont="1" applyFill="1" applyBorder="1" applyAlignment="1">
      <alignment horizontal="center"/>
    </xf>
    <xf numFmtId="0" fontId="3" fillId="7" borderId="51" xfId="0" applyFont="1" applyFill="1" applyBorder="1" applyAlignment="1">
      <alignment horizontal="center" vertical="center"/>
    </xf>
    <xf numFmtId="0" fontId="3" fillId="7" borderId="52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14" borderId="31" xfId="0" applyFont="1" applyFill="1" applyBorder="1" applyAlignment="1">
      <alignment horizontal="center"/>
    </xf>
    <xf numFmtId="0" fontId="3" fillId="14" borderId="32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58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35" xfId="0" applyFont="1" applyFill="1" applyBorder="1" applyAlignment="1">
      <alignment horizontal="center"/>
    </xf>
    <xf numFmtId="0" fontId="1" fillId="10" borderId="36" xfId="0" applyFont="1" applyFill="1" applyBorder="1" applyAlignment="1">
      <alignment horizontal="center"/>
    </xf>
    <xf numFmtId="0" fontId="26" fillId="14" borderId="66" xfId="0" applyFont="1" applyFill="1" applyBorder="1" applyAlignment="1">
      <alignment horizontal="left"/>
    </xf>
    <xf numFmtId="0" fontId="26" fillId="14" borderId="31" xfId="0" applyFont="1" applyFill="1" applyBorder="1" applyAlignment="1">
      <alignment horizontal="left"/>
    </xf>
    <xf numFmtId="0" fontId="1" fillId="8" borderId="14" xfId="0" applyFont="1" applyFill="1" applyBorder="1" applyAlignment="1">
      <alignment horizontal="center"/>
    </xf>
    <xf numFmtId="0" fontId="1" fillId="8" borderId="63" xfId="0" applyFont="1" applyFill="1" applyBorder="1" applyAlignment="1">
      <alignment horizontal="center"/>
    </xf>
    <xf numFmtId="0" fontId="1" fillId="8" borderId="64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0" fontId="4" fillId="8" borderId="36" xfId="0" applyFont="1" applyFill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14" borderId="29" xfId="0" applyFont="1" applyFill="1" applyBorder="1" applyAlignment="1">
      <alignment horizontal="center"/>
    </xf>
    <xf numFmtId="0" fontId="3" fillId="14" borderId="66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6" fillId="7" borderId="31" xfId="0" applyFont="1" applyFill="1" applyBorder="1" applyAlignment="1">
      <alignment horizontal="left"/>
    </xf>
    <xf numFmtId="0" fontId="26" fillId="7" borderId="32" xfId="0" applyFont="1" applyFill="1" applyBorder="1" applyAlignment="1">
      <alignment horizontal="left"/>
    </xf>
    <xf numFmtId="0" fontId="27" fillId="16" borderId="54" xfId="0" applyFont="1" applyFill="1" applyBorder="1" applyAlignment="1">
      <alignment horizontal="left" vertical="center"/>
    </xf>
    <xf numFmtId="0" fontId="27" fillId="16" borderId="52" xfId="0" applyFont="1" applyFill="1" applyBorder="1" applyAlignment="1">
      <alignment horizontal="left" vertical="center"/>
    </xf>
    <xf numFmtId="0" fontId="27" fillId="16" borderId="69" xfId="0" applyFont="1" applyFill="1" applyBorder="1" applyAlignment="1">
      <alignment horizontal="left" vertical="center"/>
    </xf>
    <xf numFmtId="0" fontId="27" fillId="16" borderId="41" xfId="0" applyFont="1" applyFill="1" applyBorder="1" applyAlignment="1">
      <alignment horizontal="left" vertical="center"/>
    </xf>
    <xf numFmtId="0" fontId="27" fillId="16" borderId="21" xfId="0" applyFont="1" applyFill="1" applyBorder="1" applyAlignment="1">
      <alignment horizontal="left" vertical="center"/>
    </xf>
    <xf numFmtId="0" fontId="27" fillId="16" borderId="70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right"/>
    </xf>
    <xf numFmtId="0" fontId="3" fillId="6" borderId="58" xfId="0" applyFont="1" applyFill="1" applyBorder="1" applyAlignment="1">
      <alignment horizontal="right"/>
    </xf>
    <xf numFmtId="0" fontId="3" fillId="6" borderId="57" xfId="0" applyFont="1" applyFill="1" applyBorder="1" applyAlignment="1">
      <alignment horizontal="right"/>
    </xf>
    <xf numFmtId="0" fontId="3" fillId="16" borderId="18" xfId="0" applyFont="1" applyFill="1" applyBorder="1" applyAlignment="1">
      <alignment horizontal="center"/>
    </xf>
    <xf numFmtId="0" fontId="3" fillId="16" borderId="35" xfId="0" applyFont="1" applyFill="1" applyBorder="1" applyAlignment="1">
      <alignment horizontal="center"/>
    </xf>
    <xf numFmtId="0" fontId="3" fillId="16" borderId="36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48" xfId="0" applyFont="1" applyFill="1" applyBorder="1" applyAlignment="1">
      <alignment horizontal="center"/>
    </xf>
    <xf numFmtId="0" fontId="27" fillId="17" borderId="44" xfId="0" applyFont="1" applyFill="1" applyBorder="1" applyAlignment="1">
      <alignment horizontal="left"/>
    </xf>
    <xf numFmtId="21" fontId="3" fillId="12" borderId="12" xfId="0" applyNumberFormat="1" applyFont="1" applyFill="1" applyBorder="1" applyAlignment="1">
      <alignment horizontal="center" vertical="center"/>
    </xf>
    <xf numFmtId="21" fontId="3" fillId="12" borderId="48" xfId="0" applyNumberFormat="1" applyFont="1" applyFill="1" applyBorder="1" applyAlignment="1">
      <alignment horizontal="center" vertical="center"/>
    </xf>
    <xf numFmtId="0" fontId="34" fillId="4" borderId="12" xfId="1" applyFont="1" applyFill="1" applyBorder="1" applyAlignment="1" applyProtection="1">
      <alignment horizontal="center" vertical="center" readingOrder="2"/>
    </xf>
    <xf numFmtId="0" fontId="34" fillId="4" borderId="50" xfId="1" applyFont="1" applyFill="1" applyBorder="1" applyAlignment="1" applyProtection="1">
      <alignment horizontal="center" vertical="center" readingOrder="2"/>
    </xf>
    <xf numFmtId="0" fontId="34" fillId="4" borderId="48" xfId="1" applyFont="1" applyFill="1" applyBorder="1" applyAlignment="1" applyProtection="1">
      <alignment horizontal="center" vertical="center" readingOrder="2"/>
    </xf>
    <xf numFmtId="0" fontId="42" fillId="0" borderId="12" xfId="2" applyFont="1" applyBorder="1" applyAlignment="1" applyProtection="1">
      <alignment horizontal="center" vertical="center"/>
    </xf>
    <xf numFmtId="0" fontId="42" fillId="0" borderId="48" xfId="2" applyFont="1" applyBorder="1" applyAlignment="1" applyProtection="1">
      <alignment horizontal="center" vertical="center"/>
    </xf>
    <xf numFmtId="0" fontId="36" fillId="19" borderId="54" xfId="0" applyFont="1" applyFill="1" applyBorder="1" applyAlignment="1">
      <alignment horizontal="center" vertical="center" readingOrder="1"/>
    </xf>
    <xf numFmtId="0" fontId="36" fillId="19" borderId="69" xfId="0" applyFont="1" applyFill="1" applyBorder="1" applyAlignment="1">
      <alignment horizontal="center" vertical="center" readingOrder="1"/>
    </xf>
    <xf numFmtId="0" fontId="22" fillId="8" borderId="35" xfId="0" applyFont="1" applyFill="1" applyBorder="1" applyAlignment="1">
      <alignment horizontal="center" vertical="center"/>
    </xf>
    <xf numFmtId="0" fontId="1" fillId="8" borderId="35" xfId="1" applyFont="1" applyFill="1" applyBorder="1" applyAlignment="1" applyProtection="1">
      <alignment horizontal="center" vertical="center"/>
    </xf>
    <xf numFmtId="0" fontId="21" fillId="0" borderId="35" xfId="1" applyFont="1" applyBorder="1" applyAlignment="1" applyProtection="1">
      <alignment horizontal="center" vertical="center"/>
    </xf>
    <xf numFmtId="0" fontId="21" fillId="0" borderId="62" xfId="1" applyFont="1" applyBorder="1" applyAlignment="1" applyProtection="1">
      <alignment horizontal="center" vertical="center"/>
    </xf>
    <xf numFmtId="0" fontId="21" fillId="0" borderId="44" xfId="1" applyFont="1" applyBorder="1" applyAlignment="1" applyProtection="1">
      <alignment horizontal="center" vertical="center"/>
    </xf>
    <xf numFmtId="0" fontId="21" fillId="0" borderId="35" xfId="1" applyFont="1" applyBorder="1" applyAlignment="1" applyProtection="1">
      <alignment horizontal="center" vertical="center" wrapText="1"/>
    </xf>
    <xf numFmtId="0" fontId="5" fillId="19" borderId="12" xfId="0" applyFont="1" applyFill="1" applyBorder="1" applyAlignment="1">
      <alignment horizontal="center" vertical="center" readingOrder="1"/>
    </xf>
    <xf numFmtId="0" fontId="5" fillId="19" borderId="48" xfId="0" applyFont="1" applyFill="1" applyBorder="1" applyAlignment="1">
      <alignment horizontal="center" vertical="center" readingOrder="1"/>
    </xf>
    <xf numFmtId="0" fontId="34" fillId="18" borderId="12" xfId="1" applyFont="1" applyFill="1" applyBorder="1" applyAlignment="1" applyProtection="1">
      <alignment horizontal="center" vertical="center" readingOrder="2"/>
    </xf>
    <xf numFmtId="0" fontId="34" fillId="18" borderId="50" xfId="1" applyFont="1" applyFill="1" applyBorder="1" applyAlignment="1" applyProtection="1">
      <alignment horizontal="center" vertical="center" readingOrder="2"/>
    </xf>
    <xf numFmtId="0" fontId="34" fillId="18" borderId="48" xfId="1" applyFont="1" applyFill="1" applyBorder="1" applyAlignment="1" applyProtection="1">
      <alignment horizontal="center" vertical="center" readingOrder="2"/>
    </xf>
    <xf numFmtId="0" fontId="34" fillId="18" borderId="35" xfId="1" applyFont="1" applyFill="1" applyBorder="1" applyAlignment="1" applyProtection="1">
      <alignment horizontal="center" vertical="center" readingOrder="2"/>
    </xf>
    <xf numFmtId="0" fontId="5" fillId="19" borderId="45" xfId="0" applyFont="1" applyFill="1" applyBorder="1" applyAlignment="1">
      <alignment horizontal="right" vertical="center" indent="1" readingOrder="1"/>
    </xf>
    <xf numFmtId="0" fontId="5" fillId="19" borderId="43" xfId="0" applyFont="1" applyFill="1" applyBorder="1" applyAlignment="1">
      <alignment horizontal="right" vertical="center" indent="1" readingOrder="1"/>
    </xf>
    <xf numFmtId="0" fontId="1" fillId="11" borderId="50" xfId="1" applyFont="1" applyFill="1" applyBorder="1" applyAlignment="1" applyProtection="1">
      <alignment horizontal="center" vertical="center"/>
    </xf>
    <xf numFmtId="0" fontId="33" fillId="11" borderId="50" xfId="1" applyFill="1" applyBorder="1" applyAlignment="1" applyProtection="1">
      <alignment horizontal="center" vertical="center"/>
    </xf>
    <xf numFmtId="0" fontId="33" fillId="11" borderId="48" xfId="1" applyFill="1" applyBorder="1" applyAlignment="1" applyProtection="1">
      <alignment horizontal="center" vertical="center"/>
    </xf>
    <xf numFmtId="0" fontId="1" fillId="3" borderId="35" xfId="1" applyFont="1" applyFill="1" applyBorder="1" applyAlignment="1" applyProtection="1">
      <alignment horizontal="center" vertical="center"/>
    </xf>
    <xf numFmtId="0" fontId="22" fillId="11" borderId="35" xfId="0" applyFont="1" applyFill="1" applyBorder="1" applyAlignment="1">
      <alignment horizontal="center" vertical="center"/>
    </xf>
    <xf numFmtId="0" fontId="1" fillId="0" borderId="35" xfId="1" applyFont="1" applyFill="1" applyBorder="1" applyAlignment="1" applyProtection="1">
      <alignment horizontal="center"/>
    </xf>
    <xf numFmtId="0" fontId="33" fillId="0" borderId="35" xfId="1" applyFill="1" applyBorder="1" applyAlignment="1" applyProtection="1">
      <alignment horizontal="center"/>
    </xf>
    <xf numFmtId="0" fontId="45" fillId="27" borderId="62" xfId="2" applyFont="1" applyFill="1" applyBorder="1" applyAlignment="1" applyProtection="1">
      <alignment horizontal="center" vertical="center" wrapText="1"/>
    </xf>
    <xf numFmtId="0" fontId="44" fillId="27" borderId="44" xfId="2" applyFill="1" applyBorder="1" applyAlignment="1" applyProtection="1"/>
    <xf numFmtId="0" fontId="46" fillId="28" borderId="12" xfId="2" applyFont="1" applyFill="1" applyBorder="1" applyAlignment="1" applyProtection="1">
      <alignment horizontal="center" vertical="center"/>
    </xf>
    <xf numFmtId="0" fontId="46" fillId="28" borderId="50" xfId="2" applyFont="1" applyFill="1" applyBorder="1" applyAlignment="1" applyProtection="1">
      <alignment horizontal="center" vertical="center"/>
    </xf>
    <xf numFmtId="0" fontId="46" fillId="28" borderId="48" xfId="2" applyFont="1" applyFill="1" applyBorder="1" applyAlignment="1" applyProtection="1">
      <alignment horizontal="center" vertical="center"/>
    </xf>
    <xf numFmtId="0" fontId="46" fillId="16" borderId="12" xfId="2" applyFont="1" applyFill="1" applyBorder="1" applyAlignment="1" applyProtection="1">
      <alignment horizontal="center" vertical="center" wrapText="1" readingOrder="2"/>
    </xf>
    <xf numFmtId="0" fontId="46" fillId="16" borderId="50" xfId="2" applyFont="1" applyFill="1" applyBorder="1" applyAlignment="1" applyProtection="1">
      <alignment horizontal="center" vertical="center" wrapText="1" readingOrder="2"/>
    </xf>
    <xf numFmtId="0" fontId="46" fillId="16" borderId="48" xfId="2" applyFont="1" applyFill="1" applyBorder="1" applyAlignment="1" applyProtection="1">
      <alignment horizontal="center" vertical="center" wrapText="1" readingOrder="2"/>
    </xf>
    <xf numFmtId="166" fontId="47" fillId="29" borderId="12" xfId="2" applyNumberFormat="1" applyFont="1" applyFill="1" applyBorder="1" applyAlignment="1" applyProtection="1">
      <alignment horizontal="center" vertical="center" wrapText="1" readingOrder="2"/>
    </xf>
    <xf numFmtId="166" fontId="47" fillId="29" borderId="48" xfId="2" applyNumberFormat="1" applyFont="1" applyFill="1" applyBorder="1" applyAlignment="1" applyProtection="1">
      <alignment horizontal="center" vertical="center" wrapText="1" readingOrder="2"/>
    </xf>
    <xf numFmtId="0" fontId="36" fillId="30" borderId="54" xfId="2" applyFont="1" applyFill="1" applyBorder="1" applyAlignment="1" applyProtection="1">
      <alignment horizontal="center" vertical="center" wrapText="1" readingOrder="2"/>
    </xf>
    <xf numFmtId="0" fontId="44" fillId="30" borderId="69" xfId="2" applyFill="1" applyBorder="1" applyAlignment="1" applyProtection="1">
      <alignment horizontal="center" vertical="center" wrapText="1" readingOrder="2"/>
    </xf>
    <xf numFmtId="0" fontId="46" fillId="31" borderId="12" xfId="2" applyFont="1" applyFill="1" applyBorder="1" applyAlignment="1" applyProtection="1">
      <alignment horizontal="center" vertical="center" wrapText="1" readingOrder="2"/>
    </xf>
    <xf numFmtId="0" fontId="46" fillId="31" borderId="50" xfId="2" applyFont="1" applyFill="1" applyBorder="1" applyAlignment="1" applyProtection="1">
      <alignment horizontal="center" vertical="center" wrapText="1" readingOrder="2"/>
    </xf>
    <xf numFmtId="0" fontId="46" fillId="31" borderId="48" xfId="2" applyFont="1" applyFill="1" applyBorder="1" applyAlignment="1" applyProtection="1">
      <alignment horizontal="center" vertical="center" wrapText="1" readingOrder="2"/>
    </xf>
    <xf numFmtId="0" fontId="46" fillId="32" borderId="12" xfId="2" applyFont="1" applyFill="1" applyBorder="1" applyAlignment="1" applyProtection="1">
      <alignment horizontal="center" vertical="center" wrapText="1" readingOrder="2"/>
    </xf>
    <xf numFmtId="0" fontId="46" fillId="32" borderId="50" xfId="2" applyFont="1" applyFill="1" applyBorder="1" applyAlignment="1" applyProtection="1">
      <alignment horizontal="center" vertical="center" wrapText="1" readingOrder="2"/>
    </xf>
    <xf numFmtId="0" fontId="46" fillId="32" borderId="48" xfId="2" applyFont="1" applyFill="1" applyBorder="1" applyAlignment="1" applyProtection="1">
      <alignment horizontal="center" vertical="center" wrapText="1" readingOrder="2"/>
    </xf>
  </cellXfs>
  <cellStyles count="3">
    <cellStyle name="Normal" xfId="0" builtinId="0"/>
    <cellStyle name="Normal 2" xfId="2" xr:uid="{00000000-0005-0000-0000-000001000000}"/>
    <cellStyle name="Normal 5" xfId="1" xr:uid="{00000000-0005-0000-0000-000002000000}"/>
  </cellStyles>
  <dxfs count="1">
    <dxf>
      <font>
        <sz val="11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62"/>
  <sheetViews>
    <sheetView tabSelected="1" topLeftCell="A10" zoomScale="81" zoomScaleNormal="81" workbookViewId="0">
      <selection activeCell="D31" sqref="D31:G31"/>
    </sheetView>
  </sheetViews>
  <sheetFormatPr defaultColWidth="9" defaultRowHeight="18"/>
  <cols>
    <col min="1" max="1" width="3.5546875" style="449" customWidth="1"/>
    <col min="2" max="2" width="7.5546875" style="449" customWidth="1"/>
    <col min="3" max="3" width="42.5546875" style="449" customWidth="1"/>
    <col min="4" max="4" width="11.88671875" style="449" customWidth="1"/>
    <col min="5" max="5" width="11.109375" style="449" bestFit="1" customWidth="1"/>
    <col min="6" max="9" width="16.5546875" style="449" customWidth="1"/>
    <col min="10" max="11" width="8.88671875" style="449" customWidth="1"/>
    <col min="12" max="12" width="12" style="449" customWidth="1"/>
    <col min="13" max="14" width="12.109375" style="449" customWidth="1"/>
    <col min="15" max="15" width="10.5546875" style="449" customWidth="1"/>
    <col min="16" max="18" width="11.5546875" style="449" customWidth="1"/>
    <col min="19" max="19" width="4.5546875" style="449" customWidth="1"/>
    <col min="20" max="53" width="8.88671875" style="449" customWidth="1"/>
    <col min="54" max="256" width="8.5546875" style="450" customWidth="1"/>
    <col min="257" max="16384" width="9" style="450"/>
  </cols>
  <sheetData>
    <row r="1" spans="2:9" ht="8.25" customHeight="1"/>
    <row r="2" spans="2:9" ht="8.25" customHeight="1"/>
    <row r="3" spans="2:9" ht="24" customHeight="1">
      <c r="B3" s="470" t="s">
        <v>358</v>
      </c>
      <c r="C3" s="470"/>
      <c r="D3" s="470"/>
      <c r="E3" s="470"/>
      <c r="F3" s="470"/>
      <c r="G3" s="470"/>
    </row>
    <row r="4" spans="2:9" s="449" customFormat="1" ht="20.25" customHeight="1">
      <c r="B4" s="471" t="s">
        <v>313</v>
      </c>
      <c r="C4" s="471"/>
      <c r="D4" s="471"/>
      <c r="E4" s="471"/>
      <c r="F4" s="471"/>
      <c r="G4" s="471"/>
    </row>
    <row r="5" spans="2:9" s="449" customFormat="1" ht="20.25" customHeight="1">
      <c r="B5" s="466" t="s">
        <v>363</v>
      </c>
      <c r="C5" s="467"/>
      <c r="D5" s="474" t="s">
        <v>369</v>
      </c>
      <c r="E5" s="474"/>
      <c r="F5" s="474"/>
      <c r="G5" s="474"/>
    </row>
    <row r="6" spans="2:9" s="449" customFormat="1" ht="20.25" customHeight="1">
      <c r="B6" s="466" t="s">
        <v>364</v>
      </c>
      <c r="C6" s="467"/>
      <c r="D6" s="451" t="s">
        <v>367</v>
      </c>
      <c r="E6" s="452">
        <v>7</v>
      </c>
      <c r="F6" s="452">
        <v>31</v>
      </c>
      <c r="G6" s="452">
        <v>24</v>
      </c>
      <c r="I6" s="453">
        <f>IF(D6="LU",E6+F6/60+G6/3600,-(E6+F6/60+G6/3600))</f>
        <v>-7.5233333333333334</v>
      </c>
    </row>
    <row r="7" spans="2:9" s="449" customFormat="1" ht="20.25" customHeight="1">
      <c r="B7" s="466" t="s">
        <v>365</v>
      </c>
      <c r="C7" s="467"/>
      <c r="D7" s="451" t="s">
        <v>368</v>
      </c>
      <c r="E7" s="452">
        <v>108</v>
      </c>
      <c r="F7" s="452">
        <v>16</v>
      </c>
      <c r="G7" s="452">
        <v>7</v>
      </c>
      <c r="I7" s="453">
        <f>IF(D7="BT",E7+F7/60+G7/3600,-(E7+F7/60+G7/3600))</f>
        <v>108.26861111111111</v>
      </c>
    </row>
    <row r="8" spans="2:9" s="449" customFormat="1" ht="20.25" customHeight="1">
      <c r="B8" s="466" t="s">
        <v>196</v>
      </c>
      <c r="C8" s="467"/>
      <c r="D8" s="454">
        <v>10</v>
      </c>
      <c r="E8" s="452"/>
      <c r="F8" s="452"/>
      <c r="G8" s="452"/>
    </row>
    <row r="9" spans="2:9" s="449" customFormat="1" ht="20.25" customHeight="1">
      <c r="B9" s="466" t="s">
        <v>366</v>
      </c>
      <c r="C9" s="467"/>
      <c r="D9" s="454">
        <v>7</v>
      </c>
      <c r="E9" s="452"/>
      <c r="F9" s="452"/>
      <c r="G9" s="452"/>
    </row>
    <row r="10" spans="2:9" s="449" customFormat="1" ht="19.5" customHeight="1">
      <c r="B10" s="466" t="s">
        <v>2</v>
      </c>
      <c r="C10" s="467"/>
      <c r="D10" s="455">
        <v>9</v>
      </c>
      <c r="E10" s="456"/>
      <c r="F10" s="455"/>
      <c r="G10" s="455"/>
    </row>
    <row r="11" spans="2:9" s="449" customFormat="1" ht="19.5" customHeight="1">
      <c r="B11" s="466" t="s">
        <v>218</v>
      </c>
      <c r="C11" s="467"/>
      <c r="D11" s="452">
        <v>1447</v>
      </c>
      <c r="E11" s="456"/>
      <c r="F11" s="452"/>
      <c r="G11" s="452"/>
    </row>
    <row r="12" spans="2:9" s="449" customFormat="1" ht="20.25" customHeight="1">
      <c r="B12" s="468" t="s">
        <v>341</v>
      </c>
      <c r="C12" s="469"/>
      <c r="D12" s="452">
        <v>0</v>
      </c>
      <c r="E12" s="456"/>
      <c r="F12" s="452"/>
      <c r="G12" s="452"/>
    </row>
    <row r="13" spans="2:9" s="449" customFormat="1" ht="14.4" customHeight="1">
      <c r="B13" s="475" t="str">
        <f>PROSES!X5</f>
        <v>Lintang tempat : 07° 31' 24" LS  Bujur tempat : 108° 16' 07" BT  Tinggi tempat : 10 Mtr.  Time Zone : 7</v>
      </c>
      <c r="C13" s="475"/>
      <c r="D13" s="475"/>
      <c r="E13" s="475"/>
      <c r="F13" s="475"/>
      <c r="G13" s="475"/>
    </row>
    <row r="14" spans="2:9" s="449" customFormat="1">
      <c r="B14" s="457">
        <f>IF(PROSES!J22=0,1," ")</f>
        <v>1</v>
      </c>
      <c r="C14" s="458" t="str">
        <f>IF(PROSES!J22=0,"Ijtima' akhir  bulan","Data Pada hari berikutnya")</f>
        <v>Ijtima' akhir  bulan</v>
      </c>
      <c r="D14" s="473" t="str">
        <f>IF(PROSES!J22=0,PROSES!N113," ")</f>
        <v>SYA'BAN  1447  H.</v>
      </c>
      <c r="E14" s="473"/>
      <c r="F14" s="473"/>
      <c r="G14" s="473"/>
    </row>
    <row r="15" spans="2:9" s="449" customFormat="1">
      <c r="B15" s="457">
        <f>IF(PROSES!J22=0,2,1)</f>
        <v>2</v>
      </c>
      <c r="C15" s="459" t="s">
        <v>340</v>
      </c>
      <c r="D15" s="473" t="str">
        <f>PROSES!N114</f>
        <v>SELASA  KLIWON   17  FEBRUARI  2026 M.</v>
      </c>
      <c r="E15" s="473"/>
      <c r="F15" s="473"/>
      <c r="G15" s="473"/>
    </row>
    <row r="16" spans="2:9" s="449" customFormat="1">
      <c r="B16" s="457" t="str">
        <f>IF(PROSES!J22=0,"3"," ")</f>
        <v>3</v>
      </c>
      <c r="C16" s="458" t="str">
        <f>IF(PROSES!J22=0,"Jam Ijtima'"," ")</f>
        <v>Jam Ijtima'</v>
      </c>
      <c r="D16" s="476" t="str">
        <f>IF(PROSES!J22=0,PROSES!N115," ")</f>
        <v>19:02:01   WIB</v>
      </c>
      <c r="E16" s="476"/>
      <c r="F16" s="476"/>
      <c r="G16" s="476"/>
    </row>
    <row r="17" spans="2:7" s="449" customFormat="1">
      <c r="B17" s="457" t="str">
        <f>IF(PROSES!J22=0,"4","2")</f>
        <v>4</v>
      </c>
      <c r="C17" s="458" t="s">
        <v>306</v>
      </c>
      <c r="D17" s="476" t="str">
        <f>PROSES!N116</f>
        <v>18:11:08   WIB</v>
      </c>
      <c r="E17" s="476"/>
      <c r="F17" s="476"/>
      <c r="G17" s="476"/>
    </row>
    <row r="18" spans="2:7" s="449" customFormat="1">
      <c r="B18" s="457" t="str">
        <f>IF(PROSES!J22=0,"5","3")</f>
        <v>5</v>
      </c>
      <c r="C18" s="458" t="s">
        <v>343</v>
      </c>
      <c r="D18" s="476" t="str">
        <f>PROSES!N117</f>
        <v>18:07:48   WIB</v>
      </c>
      <c r="E18" s="476"/>
      <c r="F18" s="476"/>
      <c r="G18" s="476"/>
    </row>
    <row r="19" spans="2:7" s="449" customFormat="1">
      <c r="B19" s="457" t="str">
        <f>IF(PROSES!J22=0,"6","4")</f>
        <v>6</v>
      </c>
      <c r="C19" s="460" t="s">
        <v>307</v>
      </c>
      <c r="D19" s="477" t="str">
        <f>PROSES!N118</f>
        <v>- 00° 50' 08"</v>
      </c>
      <c r="E19" s="477"/>
      <c r="F19" s="477"/>
      <c r="G19" s="477"/>
    </row>
    <row r="20" spans="2:7" s="449" customFormat="1">
      <c r="B20" s="457" t="str">
        <f>IF(PROSES!J22=0,"7","5")</f>
        <v>7</v>
      </c>
      <c r="C20" s="460" t="s">
        <v>308</v>
      </c>
      <c r="D20" s="477" t="str">
        <f>PROSES!N119</f>
        <v>- 01° 47' 07"</v>
      </c>
      <c r="E20" s="477"/>
      <c r="F20" s="477"/>
      <c r="G20" s="477"/>
    </row>
    <row r="21" spans="2:7" s="449" customFormat="1">
      <c r="B21" s="457" t="str">
        <f>IF(PROSES!J22=0,"8","6")</f>
        <v>8</v>
      </c>
      <c r="C21" s="458" t="s">
        <v>336</v>
      </c>
      <c r="D21" s="473" t="str">
        <f>PROSES!N120</f>
        <v>01° 08' 20"</v>
      </c>
      <c r="E21" s="473"/>
      <c r="F21" s="473"/>
      <c r="G21" s="473"/>
    </row>
    <row r="22" spans="2:7" s="449" customFormat="1">
      <c r="B22" s="457" t="str">
        <f>IF(PROSES!J22=0,"9","7")</f>
        <v>9</v>
      </c>
      <c r="C22" s="458" t="s">
        <v>337</v>
      </c>
      <c r="D22" s="476" t="str">
        <f>PROSES!N121</f>
        <v xml:space="preserve"> </v>
      </c>
      <c r="E22" s="476"/>
      <c r="F22" s="476"/>
      <c r="G22" s="476"/>
    </row>
    <row r="23" spans="2:7" s="449" customFormat="1">
      <c r="B23" s="457" t="str">
        <f>IF(PROSES!J22=0,"10","8")</f>
        <v>10</v>
      </c>
      <c r="C23" s="458" t="s">
        <v>309</v>
      </c>
      <c r="D23" s="476" t="str">
        <f>PROSES!N122</f>
        <v>MASIH DI BAWAH UFUQ</v>
      </c>
      <c r="E23" s="476"/>
      <c r="F23" s="476"/>
      <c r="G23" s="476"/>
    </row>
    <row r="24" spans="2:7" s="449" customFormat="1">
      <c r="B24" s="457" t="str">
        <f>IF(PROSES!J22=0,"11","9")</f>
        <v>11</v>
      </c>
      <c r="C24" s="458" t="s">
        <v>310</v>
      </c>
      <c r="D24" s="473" t="str">
        <f>PROSES!N123</f>
        <v>257° 52' 41"</v>
      </c>
      <c r="E24" s="473"/>
      <c r="F24" s="473"/>
      <c r="G24" s="473"/>
    </row>
    <row r="25" spans="2:7" s="449" customFormat="1">
      <c r="B25" s="457" t="str">
        <f>IF(PROSES!J22=0,"12","10")</f>
        <v>12</v>
      </c>
      <c r="C25" s="458" t="s">
        <v>338</v>
      </c>
      <c r="D25" s="473" t="str">
        <f>PROSES!N124</f>
        <v>256° 44' 34"</v>
      </c>
      <c r="E25" s="473"/>
      <c r="F25" s="473"/>
      <c r="G25" s="473"/>
    </row>
    <row r="26" spans="2:7" s="449" customFormat="1">
      <c r="B26" s="457" t="str">
        <f>IF(PROSES!J22=0,"13","11")</f>
        <v>13</v>
      </c>
      <c r="C26" s="458" t="s">
        <v>330</v>
      </c>
      <c r="D26" s="478">
        <f>PROSES!N125</f>
        <v>1.2776735510872754E-4</v>
      </c>
      <c r="E26" s="478"/>
      <c r="F26" s="478"/>
      <c r="G26" s="478"/>
    </row>
    <row r="27" spans="2:7" s="449" customFormat="1">
      <c r="B27" s="457" t="str">
        <f>IF(PROSES!J22=0,"14","12")</f>
        <v>14</v>
      </c>
      <c r="C27" s="461" t="s">
        <v>315</v>
      </c>
      <c r="D27" s="473" t="str">
        <f>PROSES!N126&amp;"  "&amp;"( "&amp;PROSES!N129&amp;" )"</f>
        <v>- 01° 08' 08  ( di selatan matahari )</v>
      </c>
      <c r="E27" s="473"/>
      <c r="F27" s="473"/>
      <c r="G27" s="473"/>
    </row>
    <row r="28" spans="2:7" s="449" customFormat="1">
      <c r="B28" s="457" t="str">
        <f>IF(PROSES!J22=0,"15","13")</f>
        <v>15</v>
      </c>
      <c r="C28" s="461" t="s">
        <v>311</v>
      </c>
      <c r="D28" s="473" t="str">
        <f>PROSES!N127</f>
        <v>miring ke selatan</v>
      </c>
      <c r="E28" s="473"/>
      <c r="F28" s="473"/>
      <c r="G28" s="473"/>
    </row>
    <row r="29" spans="2:7" s="449" customFormat="1">
      <c r="B29" s="457" t="str">
        <f>IF(PROSES!J22=0,"16","14")</f>
        <v>16</v>
      </c>
      <c r="C29" s="461" t="s">
        <v>312</v>
      </c>
      <c r="D29" s="473" t="str">
        <f>PROSES!N128</f>
        <v>di selatan katulistiwa</v>
      </c>
      <c r="E29" s="473"/>
      <c r="F29" s="473"/>
      <c r="G29" s="473"/>
    </row>
    <row r="30" spans="2:7" s="449" customFormat="1">
      <c r="B30" s="457" t="str">
        <f>IF(PROSES!J22=0,"17","15")</f>
        <v>17</v>
      </c>
      <c r="C30" s="461" t="s">
        <v>314</v>
      </c>
      <c r="D30" s="473" t="str">
        <f>PROSES!N130</f>
        <v>di selatan titik barat</v>
      </c>
      <c r="E30" s="473"/>
      <c r="F30" s="473"/>
      <c r="G30" s="473"/>
    </row>
    <row r="31" spans="2:7" s="449" customFormat="1">
      <c r="B31" s="457" t="str">
        <f>IF(PROSES!J22=0,"18"," ")</f>
        <v>18</v>
      </c>
      <c r="C31" s="458" t="str">
        <f>IF(PROSES!J22=0,"TGL  1  "&amp;PROSES!F40&amp;"  "&amp;PROSES!F42&amp;"  "&amp;"H."," ")</f>
        <v>TGL  1  RAMADHAN  1447  H.</v>
      </c>
      <c r="D31" s="473" t="str">
        <f>IF(PROSES!J22=0,PROSES!N131," ")</f>
        <v>KAMIS  PAHING  19  FEBRUARI  2026 M.</v>
      </c>
      <c r="E31" s="473"/>
      <c r="F31" s="473"/>
      <c r="G31" s="473"/>
    </row>
    <row r="32" spans="2:7" s="449" customFormat="1">
      <c r="B32" s="462"/>
      <c r="C32" s="463"/>
      <c r="D32" s="472"/>
      <c r="E32" s="472"/>
    </row>
    <row r="33" spans="2:5" s="449" customFormat="1">
      <c r="B33" s="464"/>
      <c r="C33" s="463"/>
      <c r="D33" s="463"/>
      <c r="E33" s="465"/>
    </row>
    <row r="34" spans="2:5" s="449" customFormat="1" ht="15.6" customHeight="1"/>
    <row r="35" spans="2:5" s="449" customFormat="1" ht="15.6" customHeight="1"/>
    <row r="36" spans="2:5" s="449" customFormat="1"/>
    <row r="37" spans="2:5" s="449" customFormat="1"/>
    <row r="38" spans="2:5" s="449" customFormat="1"/>
    <row r="39" spans="2:5" s="449" customFormat="1"/>
    <row r="40" spans="2:5" s="449" customFormat="1"/>
    <row r="41" spans="2:5" s="449" customFormat="1"/>
    <row r="42" spans="2:5" s="449" customFormat="1"/>
    <row r="43" spans="2:5" s="449" customFormat="1"/>
    <row r="44" spans="2:5" s="449" customFormat="1"/>
    <row r="45" spans="2:5" s="449" customFormat="1"/>
    <row r="46" spans="2:5" s="449" customFormat="1"/>
    <row r="47" spans="2:5" s="449" customFormat="1"/>
    <row r="48" spans="2:5" s="449" customFormat="1" ht="15.6" customHeight="1"/>
    <row r="49" s="449" customFormat="1" ht="15.6" customHeight="1"/>
    <row r="50" s="449" customFormat="1" ht="15.9" customHeight="1"/>
    <row r="51" s="449" customFormat="1" ht="14.4" customHeight="1"/>
    <row r="52" s="449" customFormat="1" ht="14.4" customHeight="1"/>
    <row r="53" s="449" customFormat="1" ht="14.4" customHeight="1"/>
    <row r="54" s="449" customFormat="1" ht="15.6" customHeight="1"/>
    <row r="55" s="449" customFormat="1" ht="14.4" customHeight="1"/>
    <row r="56" s="449" customFormat="1" ht="14.4" customHeight="1"/>
    <row r="57" s="449" customFormat="1" ht="15.6" customHeight="1"/>
    <row r="58" s="449" customFormat="1" ht="15.9" customHeight="1"/>
    <row r="59" s="449" customFormat="1"/>
    <row r="60" s="449" customFormat="1"/>
    <row r="61" s="449" customFormat="1"/>
    <row r="62" s="449" customFormat="1"/>
  </sheetData>
  <mergeCells count="31">
    <mergeCell ref="D18:G18"/>
    <mergeCell ref="D19:G19"/>
    <mergeCell ref="D20:G20"/>
    <mergeCell ref="D26:G26"/>
    <mergeCell ref="D27:G27"/>
    <mergeCell ref="D21:G21"/>
    <mergeCell ref="D22:G22"/>
    <mergeCell ref="D23:G23"/>
    <mergeCell ref="D24:G24"/>
    <mergeCell ref="D25:G25"/>
    <mergeCell ref="B13:G13"/>
    <mergeCell ref="D14:G14"/>
    <mergeCell ref="D15:G15"/>
    <mergeCell ref="D16:G16"/>
    <mergeCell ref="D17:G17"/>
    <mergeCell ref="D32:E32"/>
    <mergeCell ref="D28:G28"/>
    <mergeCell ref="D29:G29"/>
    <mergeCell ref="D30:G30"/>
    <mergeCell ref="D31:G31"/>
    <mergeCell ref="B10:C10"/>
    <mergeCell ref="B11:C11"/>
    <mergeCell ref="B12:C12"/>
    <mergeCell ref="B3:G3"/>
    <mergeCell ref="B4:G4"/>
    <mergeCell ref="B7:C7"/>
    <mergeCell ref="B8:C8"/>
    <mergeCell ref="B9:C9"/>
    <mergeCell ref="D5:G5"/>
    <mergeCell ref="B5:C5"/>
    <mergeCell ref="B6:C6"/>
  </mergeCells>
  <dataValidations count="2">
    <dataValidation type="list" allowBlank="1" showInputMessage="1" showErrorMessage="1" sqref="D7" xr:uid="{AF3F2DA8-5CE5-4538-A45C-9CAED9D46010}">
      <formula1>"BB,BT"</formula1>
    </dataValidation>
    <dataValidation type="list" allowBlank="1" showInputMessage="1" showErrorMessage="1" sqref="D6" xr:uid="{CF7EEC02-E198-46BC-81F7-52FE6C1C5FEB}">
      <formula1>"LS,LU"</formula1>
    </dataValidation>
  </dataValidations>
  <pageMargins left="0.7" right="0.7" top="0.75" bottom="0.75" header="0.3" footer="0.3"/>
  <pageSetup paperSize="10000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1"/>
  <sheetViews>
    <sheetView topLeftCell="A31" zoomScale="60" zoomScaleNormal="60" workbookViewId="0">
      <selection activeCell="D64" sqref="D64:D68"/>
    </sheetView>
  </sheetViews>
  <sheetFormatPr defaultColWidth="9" defaultRowHeight="14.4"/>
  <cols>
    <col min="1" max="1" width="3.5546875" customWidth="1"/>
    <col min="2" max="2" width="15.109375" customWidth="1"/>
    <col min="3" max="3" width="14.5546875" customWidth="1"/>
    <col min="4" max="4" width="23.109375" customWidth="1"/>
    <col min="5" max="7" width="16.5546875" customWidth="1"/>
    <col min="8" max="8" width="4.5546875" customWidth="1"/>
    <col min="9" max="9" width="14.88671875" customWidth="1"/>
    <col min="10" max="10" width="8.5546875" customWidth="1"/>
    <col min="11" max="11" width="11.5546875" customWidth="1"/>
    <col min="12" max="12" width="10.109375" customWidth="1"/>
    <col min="13" max="13" width="13.109375" customWidth="1"/>
    <col min="14" max="21" width="11.5546875" customWidth="1"/>
    <col min="22" max="22" width="18.109375" customWidth="1"/>
    <col min="23" max="23" width="12" customWidth="1"/>
    <col min="24" max="24" width="85.5546875" customWidth="1"/>
    <col min="25" max="256" width="8.5546875" customWidth="1"/>
  </cols>
  <sheetData>
    <row r="1" spans="2:25">
      <c r="I1" s="733" t="str">
        <f>"AWAL"&amp;"  "&amp;F40&amp;"  "&amp;J3&amp;"  "&amp;"H."</f>
        <v>AWAL  RAMADHAN  1447  H.</v>
      </c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2:25" ht="19.5" customHeight="1">
      <c r="B2" s="1" t="s">
        <v>342</v>
      </c>
      <c r="C2" s="483">
        <f>IF(F39&lt;2,F39+12-1,F39-1)</f>
        <v>8</v>
      </c>
      <c r="D2" s="484"/>
      <c r="E2" s="479" t="s">
        <v>218</v>
      </c>
      <c r="F2" s="479">
        <f>IF(F39&lt;2,F42-1,F42)</f>
        <v>1447</v>
      </c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734"/>
      <c r="X2" s="2"/>
    </row>
    <row r="3" spans="2:25" ht="16.5" customHeight="1">
      <c r="B3" s="3" t="s">
        <v>2</v>
      </c>
      <c r="C3" s="518" t="str">
        <f>VLOOKUP(C2,B50:C61,2)</f>
        <v>SYA'BAN</v>
      </c>
      <c r="D3" s="519"/>
      <c r="E3" s="480"/>
      <c r="F3" s="480"/>
      <c r="G3" s="4"/>
      <c r="I3" s="5" t="s">
        <v>218</v>
      </c>
      <c r="J3" s="6">
        <f>F2</f>
        <v>1447</v>
      </c>
      <c r="K3" s="7">
        <f>MENU!D11</f>
        <v>1447</v>
      </c>
      <c r="L3" s="558"/>
      <c r="M3" s="558"/>
      <c r="N3" s="8">
        <f>PI()/180</f>
        <v>1.7453292519943295E-2</v>
      </c>
      <c r="O3" s="9"/>
      <c r="P3" s="9"/>
      <c r="Q3" s="10"/>
      <c r="R3" s="447">
        <f>113+15/60</f>
        <v>113.25</v>
      </c>
      <c r="S3" s="709" t="s">
        <v>188</v>
      </c>
      <c r="T3" s="710"/>
      <c r="U3" s="711"/>
      <c r="W3" s="11" t="str">
        <f>MENU!D6</f>
        <v>LS</v>
      </c>
      <c r="X3" s="12" t="str">
        <f>TEXT(ABS(K9/24),"[hh]° mm' ss")&amp;""""</f>
        <v>07° 31' 24"</v>
      </c>
      <c r="Y3" s="13"/>
    </row>
    <row r="4" spans="2:25" ht="15.6">
      <c r="I4" s="14" t="s">
        <v>2</v>
      </c>
      <c r="J4" s="15">
        <f>C2</f>
        <v>8</v>
      </c>
      <c r="K4" s="16"/>
      <c r="L4" s="730"/>
      <c r="M4" s="730"/>
      <c r="N4" s="17"/>
      <c r="O4" s="544" t="s">
        <v>3</v>
      </c>
      <c r="P4" s="545"/>
      <c r="Q4" s="18" t="s">
        <v>217</v>
      </c>
      <c r="R4" s="19"/>
      <c r="S4" s="20" t="s">
        <v>40</v>
      </c>
      <c r="T4" s="516">
        <f>Q10</f>
        <v>43.295399999999972</v>
      </c>
      <c r="U4" s="517"/>
      <c r="W4" s="11" t="str">
        <f>MENU!D7</f>
        <v>BT</v>
      </c>
      <c r="X4" s="12" t="str">
        <f>IF(K10&lt;0,"- ", )&amp;TEXT(ABS(K10/24),"[hh]° mm' ss")&amp;""""</f>
        <v>108° 16' 07"</v>
      </c>
    </row>
    <row r="5" spans="2:25" ht="20.399999999999999">
      <c r="B5" s="525" t="str">
        <f>"AKHIR  BULAN  "&amp;C3&amp;"  "&amp;F2&amp;"  "&amp;"H."</f>
        <v>AKHIR  BULAN  SYA'BAN  1447  H.</v>
      </c>
      <c r="C5" s="526"/>
      <c r="D5" s="526"/>
      <c r="E5" s="526"/>
      <c r="F5" s="526"/>
      <c r="G5" s="527"/>
      <c r="I5" s="683" t="s">
        <v>195</v>
      </c>
      <c r="J5" s="712" t="str">
        <f>MENU!D5</f>
        <v>PONPES RIYADUSSALAM</v>
      </c>
      <c r="K5" s="713"/>
      <c r="L5" s="713"/>
      <c r="M5" s="714"/>
      <c r="N5" s="21"/>
      <c r="O5" s="546"/>
      <c r="P5" s="547"/>
      <c r="Q5" s="22" t="s">
        <v>333</v>
      </c>
      <c r="R5" s="19"/>
      <c r="S5" s="23" t="s">
        <v>189</v>
      </c>
      <c r="T5" s="637">
        <f>0.267/(1-0.017*COS(T4*PI))</f>
        <v>0.27034499836692799</v>
      </c>
      <c r="U5" s="638"/>
      <c r="V5" s="13"/>
      <c r="W5" s="13"/>
      <c r="X5" s="11" t="str">
        <f>"Lintang tempat : "&amp;X3&amp;" "&amp;W3&amp;"  "&amp;"Bujur tempat : "&amp;X4&amp;" "&amp;W4&amp;"  "&amp;"Tinggi tempat : "&amp;J9&amp;" "&amp;"Mtr.  "&amp;"Time Zone : "&amp;J10</f>
        <v>Lintang tempat : 07° 31' 24" LS  Bujur tempat : 108° 16' 07" BT  Tinggi tempat : 10 Mtr.  Time Zone : 7</v>
      </c>
    </row>
    <row r="6" spans="2:25" ht="15.6">
      <c r="B6" s="626" t="s">
        <v>3</v>
      </c>
      <c r="C6" s="627"/>
      <c r="D6" s="24" t="s">
        <v>4</v>
      </c>
      <c r="E6" s="24" t="s">
        <v>6</v>
      </c>
      <c r="F6" s="25" t="s">
        <v>8</v>
      </c>
      <c r="G6" s="26" t="s">
        <v>10</v>
      </c>
      <c r="I6" s="684"/>
      <c r="J6" s="715"/>
      <c r="K6" s="716"/>
      <c r="L6" s="716"/>
      <c r="M6" s="717"/>
      <c r="N6" s="21"/>
      <c r="O6" s="27" t="s">
        <v>164</v>
      </c>
      <c r="P6" s="28">
        <f>30*INT(J3/30)</f>
        <v>1440</v>
      </c>
      <c r="Q6" s="29">
        <f>VLOOKUP(P6,HAROKAT!H6:M71,6)</f>
        <v>246.405</v>
      </c>
      <c r="R6" s="30"/>
      <c r="S6" s="23" t="s">
        <v>190</v>
      </c>
      <c r="T6" s="637">
        <f>1.76/60*SQRT(J9)</f>
        <v>9.276014469827247E-2</v>
      </c>
      <c r="U6" s="638"/>
      <c r="V6" s="13"/>
    </row>
    <row r="7" spans="2:25" ht="15.6">
      <c r="B7" s="628"/>
      <c r="C7" s="629"/>
      <c r="D7" s="31" t="s">
        <v>5</v>
      </c>
      <c r="E7" s="31" t="s">
        <v>7</v>
      </c>
      <c r="F7" s="32" t="s">
        <v>9</v>
      </c>
      <c r="G7" s="33" t="s">
        <v>11</v>
      </c>
      <c r="I7" s="34" t="s">
        <v>186</v>
      </c>
      <c r="J7" s="35">
        <f>MENU!E6</f>
        <v>7</v>
      </c>
      <c r="K7" s="35">
        <f>MENU!F6</f>
        <v>31</v>
      </c>
      <c r="L7" s="35">
        <f>MENU!G6</f>
        <v>24</v>
      </c>
      <c r="M7" s="35"/>
      <c r="N7" s="36"/>
      <c r="O7" s="37" t="s">
        <v>165</v>
      </c>
      <c r="P7" s="28">
        <f>J3-P6</f>
        <v>7</v>
      </c>
      <c r="Q7" s="38">
        <f>VLOOKUP(P7,HAROKAT!H77:M106,6)</f>
        <v>284.28870000000001</v>
      </c>
      <c r="R7" s="30"/>
      <c r="S7" s="23" t="s">
        <v>37</v>
      </c>
      <c r="T7" s="637">
        <f>-(T5+34.5/60+T6)</f>
        <v>-0.93810514306520032</v>
      </c>
      <c r="U7" s="638"/>
      <c r="V7" s="13"/>
    </row>
    <row r="8" spans="2:25" ht="15.6">
      <c r="B8" s="39" t="s">
        <v>0</v>
      </c>
      <c r="C8" s="40">
        <f>30*INT(F2/30)</f>
        <v>1440</v>
      </c>
      <c r="D8" s="41">
        <f>VLOOKUP(C8,HAROKAT!B6:F71,2)</f>
        <v>2458371.6639</v>
      </c>
      <c r="E8" s="41">
        <f>VLOOKUP(C8,HAROKAT!B6:F71,3)</f>
        <v>45.598599999999998</v>
      </c>
      <c r="F8" s="42">
        <f>VLOOKUP(C8,HAROKAT!B6:F71,4)</f>
        <v>45.269599999999997</v>
      </c>
      <c r="G8" s="43">
        <f>VLOOKUP(C8,HAROKAT!B6:F71,5)</f>
        <v>245.8869</v>
      </c>
      <c r="I8" s="44" t="s">
        <v>187</v>
      </c>
      <c r="J8" s="35">
        <f>MENU!E7</f>
        <v>108</v>
      </c>
      <c r="K8" s="35">
        <f>MENU!F7</f>
        <v>16</v>
      </c>
      <c r="L8" s="35">
        <f>MENU!G7</f>
        <v>7</v>
      </c>
      <c r="M8" s="448"/>
      <c r="N8" s="46"/>
      <c r="O8" s="27" t="s">
        <v>216</v>
      </c>
      <c r="P8" s="47">
        <f>J4</f>
        <v>8</v>
      </c>
      <c r="Q8" s="38">
        <f>VLOOKUP(P8,HAROKAT!H112:M123,6)</f>
        <v>204.01929999999999</v>
      </c>
      <c r="R8" s="30"/>
      <c r="S8" s="23" t="s">
        <v>199</v>
      </c>
      <c r="T8" s="637">
        <f>INDEX(HAROKAT!Y6:AJ36,E38,F26)</f>
        <v>-12.091697222222223</v>
      </c>
      <c r="U8" s="638"/>
      <c r="V8" s="13"/>
    </row>
    <row r="9" spans="2:25" ht="15.6">
      <c r="B9" s="48" t="s">
        <v>1</v>
      </c>
      <c r="C9" s="49">
        <f>F2-C8</f>
        <v>7</v>
      </c>
      <c r="D9" s="41">
        <f>IF(C9=0,C9,VLOOKUP(C9,HAROKAT!B77:F106,2))</f>
        <v>2480.5693999999999</v>
      </c>
      <c r="E9" s="41">
        <f>IF(C9=0,C9,VLOOKUP(C9,HAROKAT!B77:F106,3))</f>
        <v>56.322499999999998</v>
      </c>
      <c r="F9" s="50">
        <f>IF(C9=0,C9,VLOOKUP(C9,HAROKAT!B77:F106,4))</f>
        <v>8.6211000000000002</v>
      </c>
      <c r="G9" s="51">
        <f>IF(C9=0,C9,VLOOKUP(C9,HAROKAT!B77:F106,5))</f>
        <v>284.84989999999999</v>
      </c>
      <c r="I9" s="52" t="s">
        <v>196</v>
      </c>
      <c r="J9" s="45">
        <f>MENU!D8</f>
        <v>10</v>
      </c>
      <c r="K9" s="553">
        <f>MENU!I6</f>
        <v>-7.5233333333333334</v>
      </c>
      <c r="L9" s="554"/>
      <c r="M9" s="555"/>
      <c r="N9" s="53"/>
      <c r="O9" s="27" t="s">
        <v>86</v>
      </c>
      <c r="P9" s="47">
        <f>F48</f>
        <v>29</v>
      </c>
      <c r="Q9" s="38">
        <f>VLOOKUP(P9,HAROKAT!H129:M159,6)</f>
        <v>28.5824</v>
      </c>
      <c r="R9" s="19"/>
      <c r="S9" s="23" t="s">
        <v>194</v>
      </c>
      <c r="T9" s="637">
        <f>INDEX(HAROKAT!Y40:AJ70,E38,F26)</f>
        <v>-0.23333055555555557</v>
      </c>
      <c r="U9" s="638"/>
      <c r="V9" s="13"/>
    </row>
    <row r="10" spans="2:25" ht="15.6">
      <c r="B10" s="48" t="s">
        <v>2</v>
      </c>
      <c r="C10" s="41">
        <f>C2</f>
        <v>8</v>
      </c>
      <c r="D10" s="41">
        <f>VLOOKUP(C10,HAROKAT!B112:F123,2)</f>
        <v>236.24469999999999</v>
      </c>
      <c r="E10" s="41">
        <f>VLOOKUP(C10,HAROKAT!B112:F123,3)</f>
        <v>245.36410000000001</v>
      </c>
      <c r="F10" s="50">
        <f>VLOOKUP(C10,HAROKAT!B112:F123,4)</f>
        <v>206.53530000000001</v>
      </c>
      <c r="G10" s="51">
        <f>VLOOKUP(C10,HAROKAT!B112:F123,5)</f>
        <v>232.84280000000001</v>
      </c>
      <c r="I10" s="44" t="s">
        <v>197</v>
      </c>
      <c r="J10" s="45">
        <f>MENU!D9</f>
        <v>7</v>
      </c>
      <c r="K10" s="723">
        <f>MENU!I7</f>
        <v>108.26861111111111</v>
      </c>
      <c r="L10" s="723"/>
      <c r="M10" s="724"/>
      <c r="N10" s="19"/>
      <c r="O10" s="705" t="s">
        <v>12</v>
      </c>
      <c r="P10" s="706"/>
      <c r="Q10" s="514">
        <f>MOD(SUM(Q6:Q9),360)</f>
        <v>43.295399999999972</v>
      </c>
      <c r="R10" s="19"/>
      <c r="S10" s="512" t="s">
        <v>359</v>
      </c>
      <c r="T10" s="510">
        <f>(ACOS(-TAN(LT*PI)*TAN(T8*PI)+SIN(T7*PI)/COS(LT*PI)/COS(T8*PI))/PI)/15+12-T9</f>
        <v>18.405971170455693</v>
      </c>
      <c r="U10" s="511"/>
    </row>
    <row r="11" spans="2:25" ht="18">
      <c r="B11" s="520" t="s">
        <v>12</v>
      </c>
      <c r="C11" s="521"/>
      <c r="D11" s="54">
        <f>SUM(D8:D10)</f>
        <v>2461088.4780000001</v>
      </c>
      <c r="E11" s="54">
        <f>MOD(SUM(E8:E10),360)</f>
        <v>347.28520000000003</v>
      </c>
      <c r="F11" s="55">
        <f>MOD(SUM(F8:F10),360)</f>
        <v>260.42599999999999</v>
      </c>
      <c r="G11" s="56">
        <f>MOD(SUM(G8:G10),360)</f>
        <v>43.579600000000028</v>
      </c>
      <c r="I11" s="57" t="s">
        <v>224</v>
      </c>
      <c r="J11" s="58">
        <f>ABS(K11/24)</f>
        <v>1.3837191358024685E-2</v>
      </c>
      <c r="K11" s="720">
        <f>(R3-K10)/15</f>
        <v>0.33209259259259244</v>
      </c>
      <c r="L11" s="721"/>
      <c r="M11" s="722"/>
      <c r="N11" s="59"/>
      <c r="O11" s="707"/>
      <c r="P11" s="708"/>
      <c r="Q11" s="515"/>
      <c r="R11" s="59"/>
      <c r="S11" s="513"/>
      <c r="T11" s="644">
        <f>T10/24</f>
        <v>0.76691546543565392</v>
      </c>
      <c r="U11" s="645"/>
      <c r="W11" s="60"/>
    </row>
    <row r="12" spans="2:25">
      <c r="B12" s="522"/>
      <c r="C12" s="523"/>
      <c r="D12" s="523"/>
      <c r="E12" s="523"/>
      <c r="F12" s="523"/>
      <c r="G12" s="524"/>
      <c r="I12" s="61"/>
      <c r="J12" s="62"/>
      <c r="K12" s="62"/>
      <c r="L12" s="62"/>
      <c r="M12" s="62"/>
      <c r="N12" s="63"/>
      <c r="O12" s="63"/>
      <c r="P12" s="63"/>
      <c r="Q12" s="62"/>
      <c r="R12" s="62"/>
      <c r="S12" s="62"/>
      <c r="T12" s="62"/>
      <c r="U12" s="64"/>
    </row>
    <row r="13" spans="2:25" ht="18.600000000000001" customHeight="1">
      <c r="I13" s="642" t="s">
        <v>21</v>
      </c>
      <c r="J13" s="506"/>
      <c r="K13" s="506" t="s">
        <v>22</v>
      </c>
      <c r="L13" s="697" t="s">
        <v>23</v>
      </c>
      <c r="M13" s="697"/>
      <c r="N13" s="65" t="s">
        <v>24</v>
      </c>
      <c r="O13" s="65" t="s">
        <v>25</v>
      </c>
      <c r="P13" s="65" t="s">
        <v>26</v>
      </c>
      <c r="Q13" s="65" t="s">
        <v>27</v>
      </c>
      <c r="R13" s="65" t="s">
        <v>18</v>
      </c>
      <c r="S13" s="65" t="s">
        <v>28</v>
      </c>
      <c r="T13" s="65" t="s">
        <v>29</v>
      </c>
      <c r="U13" s="66" t="s">
        <v>30</v>
      </c>
    </row>
    <row r="14" spans="2:25" ht="15.6">
      <c r="B14" s="67" t="s">
        <v>227</v>
      </c>
      <c r="C14" s="68" t="s">
        <v>229</v>
      </c>
      <c r="D14" s="69" t="s">
        <v>158</v>
      </c>
      <c r="E14" s="70" t="s">
        <v>159</v>
      </c>
      <c r="F14" s="70" t="s">
        <v>157</v>
      </c>
      <c r="G14" s="71" t="s">
        <v>215</v>
      </c>
      <c r="I14" s="643"/>
      <c r="J14" s="507"/>
      <c r="K14" s="507"/>
      <c r="L14" s="72" t="s">
        <v>37</v>
      </c>
      <c r="M14" s="72" t="s">
        <v>38</v>
      </c>
      <c r="N14" s="73" t="s">
        <v>39</v>
      </c>
      <c r="O14" s="73" t="s">
        <v>40</v>
      </c>
      <c r="P14" s="73" t="s">
        <v>36</v>
      </c>
      <c r="Q14" s="73" t="s">
        <v>33</v>
      </c>
      <c r="R14" s="73" t="s">
        <v>41</v>
      </c>
      <c r="S14" s="73" t="s">
        <v>42</v>
      </c>
      <c r="T14" s="73" t="s">
        <v>43</v>
      </c>
      <c r="U14" s="74" t="s">
        <v>44</v>
      </c>
    </row>
    <row r="15" spans="2:25" ht="15.6">
      <c r="B15" s="75" t="s">
        <v>207</v>
      </c>
      <c r="C15" s="76">
        <f>G11</f>
        <v>43.579600000000028</v>
      </c>
      <c r="D15" s="77">
        <f>VLOOKUP(INT(C15),TDL,2)</f>
        <v>0.1183</v>
      </c>
      <c r="E15" s="77">
        <f>VLOOKUP(INT(C15+1),TDL,2)</f>
        <v>0.1205</v>
      </c>
      <c r="F15" s="77">
        <f>C15-INT(C15)</f>
        <v>0.57960000000002765</v>
      </c>
      <c r="G15" s="78">
        <f>D15-(D15-E15)*F15</f>
        <v>0.11957512000000006</v>
      </c>
      <c r="I15" s="79" t="s">
        <v>0</v>
      </c>
      <c r="J15" s="80">
        <f>P6</f>
        <v>1440</v>
      </c>
      <c r="K15" s="81">
        <f>VLOOKUP(J15,HAROKAT!H6:S71,2)</f>
        <v>2458372</v>
      </c>
      <c r="L15" s="81">
        <f>VLOOKUP(J15,HAROKAT!H6:S71,3)</f>
        <v>3</v>
      </c>
      <c r="M15" s="81">
        <f>VLOOKUP(J15,HAROKAT!H6:S71,4)</f>
        <v>4</v>
      </c>
      <c r="N15" s="81">
        <f>VLOOKUP(J15,HAROKAT!H6:S71,5)</f>
        <v>169.66370000000001</v>
      </c>
      <c r="O15" s="81">
        <f>VLOOKUP(J15,HAROKAT!H6:S71,6)</f>
        <v>246.405</v>
      </c>
      <c r="P15" s="81">
        <f>VLOOKUP(J15,HAROKAT!H6:S71,7)</f>
        <v>176.01830000000001</v>
      </c>
      <c r="Q15" s="81">
        <f>VLOOKUP(J15,HAROKAT!H6:S71,8)</f>
        <v>52.0931</v>
      </c>
      <c r="R15" s="81">
        <f>VLOOKUP(J15,HAROKAT!H6:S71,9)</f>
        <v>52.499000000000002</v>
      </c>
      <c r="S15" s="81">
        <f>VLOOKUP(J15,HAROKAT!H6:S71,10)</f>
        <v>6.3547000000000002</v>
      </c>
      <c r="T15" s="81">
        <f>VLOOKUP(J15,HAROKAT!H6:S71,11)</f>
        <v>23.436859999999999</v>
      </c>
      <c r="U15" s="82">
        <f>VLOOKUP(J15,HAROKAT!H6:S71,12)</f>
        <v>236.40799999999999</v>
      </c>
    </row>
    <row r="16" spans="2:25" ht="15.6">
      <c r="B16" s="83" t="s">
        <v>209</v>
      </c>
      <c r="C16" s="84">
        <f>MOD(2*G11,360)</f>
        <v>87.159200000000055</v>
      </c>
      <c r="D16" s="77">
        <f>VLOOKUP(INT(C16),TDL,3)</f>
        <v>2.0999999999999999E-3</v>
      </c>
      <c r="E16" s="77">
        <f>VLOOKUP(INT(C16+1),TDL,3)</f>
        <v>2.0999999999999999E-3</v>
      </c>
      <c r="F16" s="77">
        <f t="shared" ref="F16:F22" si="0">C16-INT(C16)</f>
        <v>0.1592000000000553</v>
      </c>
      <c r="G16" s="85">
        <f t="shared" ref="G16:G22" si="1">D16-(D16-E16)*F16</f>
        <v>2.0999999999999999E-3</v>
      </c>
      <c r="I16" s="79" t="s">
        <v>1</v>
      </c>
      <c r="J16" s="80">
        <f>P7</f>
        <v>7</v>
      </c>
      <c r="K16" s="81">
        <f>VLOOKUP(J16,HAROKAT!H77:S106,2)</f>
        <v>2480</v>
      </c>
      <c r="L16" s="81">
        <f>VLOOKUP(J16,HAROKAT!H77:S106,3)</f>
        <v>2</v>
      </c>
      <c r="M16" s="81">
        <f>VLOOKUP(J16,HAROKAT!H77:S106,4)</f>
        <v>0</v>
      </c>
      <c r="N16" s="81">
        <f>VLOOKUP(J16,HAROKAT!H77:S106,5)</f>
        <v>284.40550000000002</v>
      </c>
      <c r="O16" s="81">
        <f>VLOOKUP(J16,HAROKAT!H77:S106,6)</f>
        <v>284.28870000000001</v>
      </c>
      <c r="P16" s="81">
        <f>VLOOKUP(J16,HAROKAT!H77:S106,7)</f>
        <v>277.4633</v>
      </c>
      <c r="Q16" s="81">
        <f>VLOOKUP(J16,HAROKAT!H77:S106,8)</f>
        <v>1.1826000000000001</v>
      </c>
      <c r="R16" s="81">
        <f>VLOOKUP(J16,HAROKAT!H77:S106,9)</f>
        <v>48.788600000000002</v>
      </c>
      <c r="S16" s="81">
        <f>VLOOKUP(J16,HAROKAT!H77:S106,10)</f>
        <v>353.05779999999999</v>
      </c>
      <c r="T16" s="81">
        <f>VLOOKUP(J16,HAROKAT!H77:S106,11)</f>
        <v>-8.83E-4</v>
      </c>
      <c r="U16" s="82">
        <f>VLOOKUP(J16,HAROKAT!H77:S106,12)</f>
        <v>284.40550000000002</v>
      </c>
    </row>
    <row r="17" spans="1:24" ht="15.6">
      <c r="B17" s="83" t="s">
        <v>210</v>
      </c>
      <c r="C17" s="84">
        <f>F11</f>
        <v>260.42599999999999</v>
      </c>
      <c r="D17" s="77">
        <f>VLOOKUP(INT(C17),TDL,4)</f>
        <v>0.40060000000000001</v>
      </c>
      <c r="E17" s="77">
        <f>VLOOKUP(INT(C17+1),TDL,4)</f>
        <v>0.40179999999999999</v>
      </c>
      <c r="F17" s="77">
        <f t="shared" si="0"/>
        <v>0.42599999999998772</v>
      </c>
      <c r="G17" s="85">
        <f t="shared" si="1"/>
        <v>0.4011112</v>
      </c>
      <c r="I17" s="79" t="s">
        <v>2</v>
      </c>
      <c r="J17" s="80">
        <f>P8</f>
        <v>8</v>
      </c>
      <c r="K17" s="81">
        <f>VLOOKUP(J17,HAROKAT!H112:S123,2)</f>
        <v>207</v>
      </c>
      <c r="L17" s="81">
        <f>VLOOKUP(J17,HAROKAT!H112:S123,3)</f>
        <v>4</v>
      </c>
      <c r="M17" s="81">
        <f>VLOOKUP(J17,HAROKAT!H112:S123,4)</f>
        <v>2</v>
      </c>
      <c r="N17" s="81">
        <f>VLOOKUP(J17,HAROKAT!H112:S123,5)</f>
        <v>204.029</v>
      </c>
      <c r="O17" s="81">
        <f>VLOOKUP(J17,HAROKAT!H112:S123,6)</f>
        <v>204.01929999999999</v>
      </c>
      <c r="P17" s="81">
        <f>VLOOKUP(J17,HAROKAT!H112:S123,7)</f>
        <v>207.51410000000001</v>
      </c>
      <c r="Q17" s="81">
        <f>VLOOKUP(J17,HAROKAT!H112:S123,8)</f>
        <v>184.45349999999999</v>
      </c>
      <c r="R17" s="81">
        <f>VLOOKUP(J17,HAROKAT!H112:S123,9)</f>
        <v>218.47550000000001</v>
      </c>
      <c r="S17" s="81">
        <f>VLOOKUP(J17,HAROKAT!H112:S123,10)</f>
        <v>3.4851000000000001</v>
      </c>
      <c r="T17" s="81">
        <f>VLOOKUP(J17,HAROKAT!H112:S123,11)</f>
        <v>-7.3999999999999996E-5</v>
      </c>
      <c r="U17" s="82">
        <f>VLOOKUP(J17,HAROKAT!H112:S123,12)</f>
        <v>204.029</v>
      </c>
    </row>
    <row r="18" spans="1:24" ht="15.6">
      <c r="B18" s="83" t="s">
        <v>211</v>
      </c>
      <c r="C18" s="84">
        <f>MOD(2*F11,360)</f>
        <v>160.85199999999998</v>
      </c>
      <c r="D18" s="77">
        <f>VLOOKUP(INT(C18),TDL,5)</f>
        <v>5.4999999999999997E-3</v>
      </c>
      <c r="E18" s="77">
        <f>VLOOKUP(INT(C18+1),TDL,5)</f>
        <v>5.1999999999999998E-3</v>
      </c>
      <c r="F18" s="77">
        <f t="shared" si="0"/>
        <v>0.85199999999997544</v>
      </c>
      <c r="G18" s="85">
        <f t="shared" si="1"/>
        <v>5.2444000000000067E-3</v>
      </c>
      <c r="I18" s="79" t="s">
        <v>185</v>
      </c>
      <c r="J18" s="86">
        <f>P9</f>
        <v>29</v>
      </c>
      <c r="K18" s="81">
        <f>VLOOKUP(J18,HAROKAT!H129:S159,2)</f>
        <v>29</v>
      </c>
      <c r="L18" s="81">
        <f>VLOOKUP(J18,HAROKAT!H129:S159,3)</f>
        <v>1</v>
      </c>
      <c r="M18" s="81">
        <f>VLOOKUP(J18,HAROKAT!H129:S159,4)</f>
        <v>4</v>
      </c>
      <c r="N18" s="81">
        <f>VLOOKUP(J18,HAROKAT!H129:S159,5)</f>
        <v>28.5838</v>
      </c>
      <c r="O18" s="81">
        <f>VLOOKUP(J18,HAROKAT!H129:S159,6)</f>
        <v>28.5824</v>
      </c>
      <c r="P18" s="81">
        <f>VLOOKUP(J18,HAROKAT!H129:S159,7)</f>
        <v>22.115500000000001</v>
      </c>
      <c r="Q18" s="81">
        <f>VLOOKUP(J18,HAROKAT!H129:S159,8)</f>
        <v>18.884799999999998</v>
      </c>
      <c r="R18" s="81">
        <f>VLOOKUP(J18,HAROKAT!H129:S159,9)</f>
        <v>23.651199999999999</v>
      </c>
      <c r="S18" s="81">
        <f>VLOOKUP(J18,HAROKAT!H129:S159,10)</f>
        <v>353.5317</v>
      </c>
      <c r="T18" s="81">
        <f>VLOOKUP(J18,HAROKAT!H129:S159,11)</f>
        <v>-1.0000000000000001E-5</v>
      </c>
      <c r="U18" s="82">
        <f>VLOOKUP(J18,HAROKAT!H129:S159,12)</f>
        <v>28.5838</v>
      </c>
    </row>
    <row r="19" spans="1:24" ht="15.6">
      <c r="B19" s="83" t="s">
        <v>212</v>
      </c>
      <c r="C19" s="84">
        <f>MOD(G11+F11,360)</f>
        <v>304.00560000000002</v>
      </c>
      <c r="D19" s="77">
        <f>VLOOKUP(INT(C19),TDL,6)</f>
        <v>4.1999999999999997E-3</v>
      </c>
      <c r="E19" s="77">
        <f>VLOOKUP(INT(C19+1),TDL,6)</f>
        <v>4.1999999999999997E-3</v>
      </c>
      <c r="F19" s="77">
        <f t="shared" si="0"/>
        <v>5.6000000000153705E-3</v>
      </c>
      <c r="G19" s="85">
        <f t="shared" si="1"/>
        <v>4.1999999999999997E-3</v>
      </c>
      <c r="I19" s="79" t="s">
        <v>191</v>
      </c>
      <c r="J19" s="86">
        <f>HOUR(T11)</f>
        <v>18</v>
      </c>
      <c r="K19" s="81"/>
      <c r="L19" s="81"/>
      <c r="M19" s="81"/>
      <c r="N19" s="87">
        <f>VLOOKUP(J19,HAROKAT!L165:S189,2)</f>
        <v>0.73919999999999997</v>
      </c>
      <c r="O19" s="87">
        <f>VLOOKUP(J19,HAROKAT!L165:S189,3)</f>
        <v>0.73919999999999997</v>
      </c>
      <c r="P19" s="87">
        <f>VLOOKUP(J19,HAROKAT!L165:S189,4)</f>
        <v>9.8823000000000008</v>
      </c>
      <c r="Q19" s="87">
        <f>VLOOKUP(J19,HAROKAT!L165:S189,5)</f>
        <v>9.7987000000000002</v>
      </c>
      <c r="R19" s="87">
        <f>VLOOKUP(J19,HAROKAT!L165:S189,6)</f>
        <v>9.9220000000000006</v>
      </c>
      <c r="S19" s="87">
        <f>VLOOKUP(J19,HAROKAT!L165:S189,7)</f>
        <v>9.1431000000000004</v>
      </c>
      <c r="T19" s="87"/>
      <c r="U19" s="88">
        <f>VLOOKUP(J19,HAROKAT!L165:S189,8)</f>
        <v>270.73919999999998</v>
      </c>
    </row>
    <row r="20" spans="1:24" ht="15.6">
      <c r="B20" s="83" t="s">
        <v>213</v>
      </c>
      <c r="C20" s="84">
        <f>IF(G11-F11&lt;0,G11-F11+360,MOD(G11-F11,360))</f>
        <v>143.15360000000004</v>
      </c>
      <c r="D20" s="77">
        <f>VLOOKUP(INT(C20),TDL,7)</f>
        <v>-4.4999999999999997E-3</v>
      </c>
      <c r="E20" s="77">
        <f>VLOOKUP(INT(C20+1),TDL,7)</f>
        <v>-4.3E-3</v>
      </c>
      <c r="F20" s="77">
        <f t="shared" si="0"/>
        <v>0.15360000000003993</v>
      </c>
      <c r="G20" s="85">
        <f t="shared" si="1"/>
        <v>-4.4692799999999921E-3</v>
      </c>
      <c r="I20" s="79" t="s">
        <v>200</v>
      </c>
      <c r="J20" s="86">
        <f>MINUTE(T11)</f>
        <v>24</v>
      </c>
      <c r="K20" s="81"/>
      <c r="L20" s="81"/>
      <c r="M20" s="81"/>
      <c r="N20" s="87">
        <f>VLOOKUP(J20,HAROKAT!L195:S255,2)</f>
        <v>1.6400000000000001E-2</v>
      </c>
      <c r="O20" s="87">
        <f>VLOOKUP(J20,HAROKAT!L195:S255,3)</f>
        <v>1.6400000000000001E-2</v>
      </c>
      <c r="P20" s="87">
        <f>VLOOKUP(J20,HAROKAT!L195:S255,4)</f>
        <v>0.21959999999999999</v>
      </c>
      <c r="Q20" s="87">
        <f>VLOOKUP(J20,HAROKAT!L195:S255,5)</f>
        <v>0.2177</v>
      </c>
      <c r="R20" s="87">
        <f>VLOOKUP(J20,HAROKAT!L195:S255,6)</f>
        <v>0.2205</v>
      </c>
      <c r="S20" s="87">
        <f>VLOOKUP(J20,HAROKAT!L195:S255,7)</f>
        <v>0.20319999999999999</v>
      </c>
      <c r="T20" s="87"/>
      <c r="U20" s="88">
        <f>VLOOKUP(J20,HAROKAT!L195:S255,8)</f>
        <v>6.0164</v>
      </c>
    </row>
    <row r="21" spans="1:24" ht="15.6">
      <c r="B21" s="83" t="s">
        <v>214</v>
      </c>
      <c r="C21" s="84">
        <f>MOD(2*E11,360)</f>
        <v>334.57040000000006</v>
      </c>
      <c r="D21" s="77">
        <f>VLOOKUP(INT(C21),TDL,8)</f>
        <v>-4.5999999999999999E-3</v>
      </c>
      <c r="E21" s="77">
        <f>VLOOKUP(INT(C21+1),TDL,8)</f>
        <v>-4.4000000000000003E-3</v>
      </c>
      <c r="F21" s="77">
        <f t="shared" si="0"/>
        <v>0.5704000000000633</v>
      </c>
      <c r="G21" s="85">
        <f t="shared" si="1"/>
        <v>-4.4859199999999879E-3</v>
      </c>
      <c r="I21" s="79" t="s">
        <v>192</v>
      </c>
      <c r="J21" s="86">
        <f>SECOND(T11)</f>
        <v>21</v>
      </c>
      <c r="K21" s="81"/>
      <c r="L21" s="81"/>
      <c r="M21" s="81"/>
      <c r="N21" s="81">
        <f>VLOOKUP(J21,HAROKAT!L261:S321,2)</f>
        <v>2.0000000000000001E-4</v>
      </c>
      <c r="O21" s="81">
        <f>VLOOKUP(J21,HAROKAT!L261:S321,3)</f>
        <v>2.0000000000000001E-4</v>
      </c>
      <c r="P21" s="81">
        <f>VLOOKUP(J21,HAROKAT!L261:S321,4)</f>
        <v>3.2000000000000002E-3</v>
      </c>
      <c r="Q21" s="81">
        <f>VLOOKUP(J21,HAROKAT!L261:S321,5)</f>
        <v>3.2000000000000002E-3</v>
      </c>
      <c r="R21" s="81">
        <f>VLOOKUP(J21,HAROKAT!L261:S321,6)</f>
        <v>3.2000000000000002E-3</v>
      </c>
      <c r="S21" s="81">
        <f>VLOOKUP(J21,HAROKAT!L261:S321,7)</f>
        <v>3.0000000000000001E-3</v>
      </c>
      <c r="T21" s="81"/>
      <c r="U21" s="82">
        <f>VLOOKUP(J21,HAROKAT!L261:S321,8)</f>
        <v>8.77E-2</v>
      </c>
    </row>
    <row r="22" spans="1:24" ht="15.6">
      <c r="B22" s="89" t="s">
        <v>208</v>
      </c>
      <c r="C22" s="90">
        <f>IF(2*E11-F11&lt;0,2*E11-F11+360,MOD(2*E11-F11,360))</f>
        <v>74.144400000000076</v>
      </c>
      <c r="D22" s="91">
        <f>VLOOKUP(INT(C22),TDL,9)</f>
        <v>1E-3</v>
      </c>
      <c r="E22" s="91">
        <f>VLOOKUP(INT(C22+1),'TA''DIL'!B$5:J$365,9)</f>
        <v>1E-3</v>
      </c>
      <c r="F22" s="91">
        <f t="shared" si="0"/>
        <v>0.14440000000007558</v>
      </c>
      <c r="G22" s="92">
        <f t="shared" si="1"/>
        <v>1E-3</v>
      </c>
      <c r="I22" s="93" t="s">
        <v>219</v>
      </c>
      <c r="J22" s="94">
        <f>MENU!D12</f>
        <v>0</v>
      </c>
      <c r="K22" s="81">
        <f>VLOOKUP(J22,HAROKAT!H129:S159,2)</f>
        <v>0</v>
      </c>
      <c r="L22" s="81">
        <f>VLOOKUP(J22,HAROKAT!H129:S159,3)</f>
        <v>0</v>
      </c>
      <c r="M22" s="81">
        <f>VLOOKUP(J22,HAROKAT!H129:S159,4)</f>
        <v>0</v>
      </c>
      <c r="N22" s="81">
        <f>VLOOKUP(AC22,HAROKAT!H129:S159,5)</f>
        <v>0</v>
      </c>
      <c r="O22" s="81">
        <f>VLOOKUP(J22,HAROKAT!H129:S159,6)</f>
        <v>0</v>
      </c>
      <c r="P22" s="81">
        <f>VLOOKUP(J22,HAROKAT!H129:S159,7)</f>
        <v>0</v>
      </c>
      <c r="Q22" s="81">
        <f>VLOOKUP(J22,HAROKAT!H129:S159,8)</f>
        <v>0</v>
      </c>
      <c r="R22" s="81">
        <f>VLOOKUP(J22,HAROKAT!H129:S159,9)</f>
        <v>0</v>
      </c>
      <c r="S22" s="81">
        <f>VLOOKUP(J22,HAROKAT!H129:S159,10)</f>
        <v>0</v>
      </c>
      <c r="T22" s="81">
        <f>VLOOKUP(J22,HAROKAT!H129:S159,11)</f>
        <v>0</v>
      </c>
      <c r="U22" s="82">
        <f>VLOOKUP(J22,HAROKAT!H129:S159,12)</f>
        <v>0</v>
      </c>
      <c r="V22" s="95"/>
    </row>
    <row r="23" spans="1:24" ht="21" customHeight="1">
      <c r="B23" s="96"/>
      <c r="C23" s="96"/>
      <c r="D23" s="96"/>
      <c r="F23" s="97"/>
      <c r="I23" s="658" t="s">
        <v>193</v>
      </c>
      <c r="J23" s="659"/>
      <c r="K23" s="98">
        <f>SUM(K15:K18)</f>
        <v>2461088</v>
      </c>
      <c r="L23" s="99">
        <f>MOD(SUM(L15:L18),7)</f>
        <v>3</v>
      </c>
      <c r="M23" s="99">
        <f>MOD(SUM(M15:M18),5)</f>
        <v>0</v>
      </c>
      <c r="N23" s="98">
        <f t="shared" ref="N23:S23" si="2">MOD(SUM(N15:N22),360)</f>
        <v>327.43779999999992</v>
      </c>
      <c r="O23" s="98">
        <f>MOD(SUM(O15:O22),360)</f>
        <v>44.051199999999881</v>
      </c>
      <c r="P23" s="98">
        <f t="shared" si="2"/>
        <v>333.21630000000005</v>
      </c>
      <c r="Q23" s="98">
        <f t="shared" si="2"/>
        <v>266.63359999999994</v>
      </c>
      <c r="R23" s="98">
        <f t="shared" si="2"/>
        <v>353.56000000000006</v>
      </c>
      <c r="S23" s="98">
        <f t="shared" si="2"/>
        <v>5.7786000000000968</v>
      </c>
      <c r="T23" s="98">
        <f>SUM(T15:T18)</f>
        <v>23.435892999999997</v>
      </c>
      <c r="U23" s="100">
        <f>MOD(SUM(U15:U22),360)</f>
        <v>310.26960000000008</v>
      </c>
      <c r="X23" s="101" t="s">
        <v>297</v>
      </c>
    </row>
    <row r="24" spans="1:24" ht="15.6" customHeight="1">
      <c r="B24" s="735" t="s">
        <v>160</v>
      </c>
      <c r="C24" s="504" t="s">
        <v>161</v>
      </c>
      <c r="D24" s="102" t="s">
        <v>202</v>
      </c>
      <c r="E24" s="102" t="s">
        <v>203</v>
      </c>
      <c r="F24" s="102" t="s">
        <v>326</v>
      </c>
      <c r="G24" s="103" t="s">
        <v>325</v>
      </c>
      <c r="I24" s="79" t="s">
        <v>220</v>
      </c>
      <c r="J24" s="104">
        <f>HOUR(J11)</f>
        <v>0</v>
      </c>
      <c r="K24" s="105"/>
      <c r="L24" s="72"/>
      <c r="M24" s="72"/>
      <c r="N24" s="106">
        <f>VLOOKUP(J24,HAROKAT!L165:S189,2)</f>
        <v>0</v>
      </c>
      <c r="O24" s="106">
        <f>VLOOKUP(J24,HAROKAT!L165:S189,3)</f>
        <v>0</v>
      </c>
      <c r="P24" s="106">
        <f>VLOOKUP(J24,HAROKAT!L165:S189,4)</f>
        <v>0</v>
      </c>
      <c r="Q24" s="106">
        <f>VLOOKUP(J24,HAROKAT!L165:S189,5)</f>
        <v>0</v>
      </c>
      <c r="R24" s="106">
        <f>VLOOKUP(J24,HAROKAT!L165:S189,6)</f>
        <v>0</v>
      </c>
      <c r="S24" s="106">
        <f>VLOOKUP(J24,HAROKAT!L165:S189,7)</f>
        <v>0</v>
      </c>
      <c r="T24" s="106"/>
      <c r="U24" s="107">
        <f>VLOOKUP(J24,HAROKAT!L165:S189,8)</f>
        <v>0</v>
      </c>
    </row>
    <row r="25" spans="1:24" ht="15.6">
      <c r="B25" s="736"/>
      <c r="C25" s="505"/>
      <c r="D25" s="108">
        <f>SUM(G15:G22)</f>
        <v>0.52427551999999999</v>
      </c>
      <c r="E25" s="109">
        <f>IF(D42&gt;24,D26+1,D26+0)</f>
        <v>2461089.50227552</v>
      </c>
      <c r="F25" s="110" t="s">
        <v>216</v>
      </c>
      <c r="G25" s="111">
        <f>IF(T100&lt;2,E26+2,E26+1)</f>
        <v>2461091.50227552</v>
      </c>
      <c r="I25" s="79" t="s">
        <v>221</v>
      </c>
      <c r="J25" s="86">
        <f>MINUTE(J11)</f>
        <v>19</v>
      </c>
      <c r="K25" s="112"/>
      <c r="L25" s="94"/>
      <c r="M25" s="94"/>
      <c r="N25" s="81">
        <f>VLOOKUP(J25,HAROKAT!L195:S255,2)</f>
        <v>1.2999999999999999E-2</v>
      </c>
      <c r="O25" s="81">
        <f>VLOOKUP(J25,HAROKAT!L195:S255,3)</f>
        <v>1.2999999999999999E-2</v>
      </c>
      <c r="P25" s="81">
        <f>VLOOKUP(J25,HAROKAT!L195:S255,4)</f>
        <v>0.1739</v>
      </c>
      <c r="Q25" s="81">
        <f>VLOOKUP(J25,HAROKAT!L195:S255,5)</f>
        <v>0.1724</v>
      </c>
      <c r="R25" s="81">
        <f>VLOOKUP(J25,HAROKAT!L195:S255,6)</f>
        <v>0.17460000000000001</v>
      </c>
      <c r="S25" s="81">
        <f>VLOOKUP(J25,HAROKAT!L195:S255,7)</f>
        <v>0.16089999999999999</v>
      </c>
      <c r="T25" s="81"/>
      <c r="U25" s="82">
        <f>VLOOKUP(J25,HAROKAT!L195:S255,8)</f>
        <v>4.7629999999999999</v>
      </c>
    </row>
    <row r="26" spans="1:24" ht="15.6">
      <c r="B26" s="113" t="s">
        <v>162</v>
      </c>
      <c r="C26" s="109" t="s">
        <v>163</v>
      </c>
      <c r="D26" s="114">
        <f>ROUND(D11+D25+0.5,12)</f>
        <v>2461089.50227552</v>
      </c>
      <c r="E26" s="109">
        <f>E25</f>
        <v>2461089.50227552</v>
      </c>
      <c r="F26" s="109">
        <f>IF(E37&gt;E36,E33+1,E33)</f>
        <v>2</v>
      </c>
      <c r="G26" s="115">
        <f>IF(AND(OR(T111&gt;7.9999999999,T100&gt;1.9999999999),J103&gt;2.9999999999),E26+1,E26+2)</f>
        <v>2461091.50227552</v>
      </c>
      <c r="I26" s="79" t="s">
        <v>222</v>
      </c>
      <c r="J26" s="86">
        <f>SECOND(J11)</f>
        <v>56</v>
      </c>
      <c r="K26" s="112"/>
      <c r="L26" s="94"/>
      <c r="M26" s="94"/>
      <c r="N26" s="81">
        <f>VLOOKUP(J26,HAROKAT!L261:S321,2)</f>
        <v>5.9999999999999995E-4</v>
      </c>
      <c r="O26" s="81">
        <f>VLOOKUP(J26,HAROKAT!L261:S321,3)</f>
        <v>5.9999999999999995E-4</v>
      </c>
      <c r="P26" s="81">
        <f>VLOOKUP(J26,HAROKAT!L261:S321,4)</f>
        <v>8.5000000000000006E-3</v>
      </c>
      <c r="Q26" s="81">
        <f>VLOOKUP(J26,HAROKAT!L261:S321,5)</f>
        <v>8.5000000000000006E-3</v>
      </c>
      <c r="R26" s="81">
        <f>VLOOKUP(J26,HAROKAT!L261:S321,6)</f>
        <v>8.6E-3</v>
      </c>
      <c r="S26" s="81">
        <f>VLOOKUP(J26,HAROKAT!L261:S321,7)</f>
        <v>7.9000000000000008E-3</v>
      </c>
      <c r="T26" s="81"/>
      <c r="U26" s="82">
        <f>VLOOKUP(J26,HAROKAT!L261:S321,8)</f>
        <v>0.23400000000000001</v>
      </c>
    </row>
    <row r="27" spans="1:24" ht="21">
      <c r="A27" s="116"/>
      <c r="B27" s="117" t="s">
        <v>164</v>
      </c>
      <c r="C27" s="118">
        <f>INDEX(HAROKAT!U6:U31,MATCH(PROSES!D30,HAROKAT!V6:V31),1)</f>
        <v>2000</v>
      </c>
      <c r="D27" s="118">
        <f>INDEX(HAROKAT!$V6:$V31,MATCH(PROSES!D30,HAROKAT!$V6:$V31),1)</f>
        <v>2451544</v>
      </c>
      <c r="E27" s="118">
        <f>INDEX(HAROKAT!$V6:$V31,MATCH(PROSES!E30,HAROKAT!$V6:$V31),1)</f>
        <v>2451544</v>
      </c>
      <c r="F27" s="109" t="str">
        <f>VLOOKUP(F26,B$50:D$61,3)</f>
        <v>FEBRUARI</v>
      </c>
      <c r="G27" s="119">
        <f>INDEX(HAROKAT!$V6:$V31,MATCH(PROSES!G30,HAROKAT!$V6:$V31),1)</f>
        <v>2451544</v>
      </c>
      <c r="I27" s="635" t="s">
        <v>226</v>
      </c>
      <c r="J27" s="636"/>
      <c r="K27" s="120">
        <f>K23</f>
        <v>2461088</v>
      </c>
      <c r="L27" s="121">
        <f>L23</f>
        <v>3</v>
      </c>
      <c r="M27" s="121">
        <f>M23</f>
        <v>0</v>
      </c>
      <c r="N27" s="121">
        <f>IF(K11&lt;0,N23-SUM(N24:N26),MOD(SUM(N23:N26),360))</f>
        <v>327.45139999999992</v>
      </c>
      <c r="O27" s="121">
        <f>IF(K11&lt;0,O23-SUM(O24:O26),MOD(SUM(O23:O26),360))</f>
        <v>44.064799999999877</v>
      </c>
      <c r="P27" s="121">
        <f>IF(K11&lt;0,P23-SUM(P24:P26),MOD(SUM(P23:P26),360))</f>
        <v>333.39870000000008</v>
      </c>
      <c r="Q27" s="121">
        <f>IF(K11&lt;0,Q23-SUM(Q24:Q26),MOD(SUM(Q23:Q26),360))</f>
        <v>266.81449999999995</v>
      </c>
      <c r="R27" s="121">
        <f>IF(K11&lt;0,R23-SUM(R24:R26),MOD(SUM(R23:R26),360))</f>
        <v>353.74320000000006</v>
      </c>
      <c r="S27" s="121">
        <f>IF(K11&lt;0,S23-SUM(S24:S26),MOD(SUM(S23:S26),360))</f>
        <v>5.9474000000000968</v>
      </c>
      <c r="T27" s="121">
        <f>T23</f>
        <v>23.435892999999997</v>
      </c>
      <c r="U27" s="122">
        <f>IF(K11&lt;0,U23-SUM(U24:U26),MOD(SUM(U23:U26),360))</f>
        <v>315.26660000000004</v>
      </c>
      <c r="X27" s="19"/>
    </row>
    <row r="28" spans="1:24" ht="15.6">
      <c r="B28" s="117" t="s">
        <v>165</v>
      </c>
      <c r="C28" s="118">
        <f>INDEX(HAROKAT!U76:U175,MATCH(D31,HAROKAT!V76:V175),1)</f>
        <v>26</v>
      </c>
      <c r="D28" s="118">
        <f>INDEX(HAROKAT!$V76:$V175,MATCH(D31,HAROKAT!$V76:$V175),1)</f>
        <v>9496</v>
      </c>
      <c r="E28" s="118">
        <f>INDEX(HAROKAT!$V76:$V175,MATCH(E31,HAROKAT!$V76:$V175),1)</f>
        <v>9496</v>
      </c>
      <c r="F28" s="118" t="s">
        <v>327</v>
      </c>
      <c r="G28" s="119">
        <f>INDEX(HAROKAT!$V76:$V175,MATCH(G31,HAROKAT!$V76:$V175),1)</f>
        <v>9496</v>
      </c>
      <c r="I28" s="123"/>
      <c r="J28" s="124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</row>
    <row r="29" spans="1:24" ht="15.6">
      <c r="B29" s="117" t="s">
        <v>324</v>
      </c>
      <c r="C29" s="118"/>
      <c r="D29" s="118">
        <f>C27+C28</f>
        <v>2026</v>
      </c>
      <c r="E29" s="118">
        <f>IF(AND(D33=12,D37&gt;D36),D29+1,D29)</f>
        <v>2026</v>
      </c>
      <c r="F29" s="118">
        <f>IF(E37&gt;E36,D29+1,D29)</f>
        <v>2026</v>
      </c>
      <c r="G29" s="126">
        <f>IF(AND(G33=12,G37&gt;G36),F29+1,F29)</f>
        <v>2026</v>
      </c>
      <c r="I29" s="127"/>
      <c r="J29" s="124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</row>
    <row r="30" spans="1:24" ht="25.8">
      <c r="B30" s="128" t="s">
        <v>167</v>
      </c>
      <c r="C30" s="129" t="s">
        <v>166</v>
      </c>
      <c r="D30" s="108">
        <f>INT(D26)-1</f>
        <v>2461088</v>
      </c>
      <c r="E30" s="130">
        <f>INT(E26)-1</f>
        <v>2461088</v>
      </c>
      <c r="F30" s="131"/>
      <c r="G30" s="132">
        <f>INT(G25)-1</f>
        <v>2461090</v>
      </c>
      <c r="I30" s="655" t="s">
        <v>294</v>
      </c>
      <c r="J30" s="656"/>
      <c r="K30" s="656"/>
      <c r="L30" s="656"/>
      <c r="M30" s="656"/>
      <c r="N30" s="656"/>
      <c r="O30" s="656"/>
      <c r="P30" s="656"/>
      <c r="Q30" s="656"/>
      <c r="R30" s="656"/>
      <c r="S30" s="656"/>
      <c r="T30" s="656"/>
      <c r="U30" s="657"/>
    </row>
    <row r="31" spans="1:24" ht="15.6">
      <c r="B31" s="133" t="s">
        <v>168</v>
      </c>
      <c r="C31" s="134"/>
      <c r="D31" s="135">
        <f>D30-D27</f>
        <v>9544</v>
      </c>
      <c r="E31" s="136">
        <f>E30-E27</f>
        <v>9544</v>
      </c>
      <c r="F31" s="137" t="s">
        <v>328</v>
      </c>
      <c r="G31" s="138">
        <f>G30-G27</f>
        <v>9546</v>
      </c>
      <c r="I31" s="139">
        <v>1</v>
      </c>
      <c r="J31" s="632" t="s">
        <v>237</v>
      </c>
      <c r="K31" s="633"/>
      <c r="L31" s="633"/>
      <c r="M31" s="633"/>
      <c r="N31" s="633"/>
      <c r="O31" s="633"/>
      <c r="P31" s="633"/>
      <c r="Q31" s="633"/>
      <c r="R31" s="633"/>
      <c r="S31" s="633"/>
      <c r="T31" s="633"/>
      <c r="U31" s="634"/>
    </row>
    <row r="32" spans="1:24" ht="15.6">
      <c r="B32" s="133" t="s">
        <v>168</v>
      </c>
      <c r="C32" s="134"/>
      <c r="D32" s="135">
        <f>D31-D28</f>
        <v>48</v>
      </c>
      <c r="E32" s="136">
        <f>E31-E28</f>
        <v>48</v>
      </c>
      <c r="F32" s="140" t="s">
        <v>327</v>
      </c>
      <c r="G32" s="138">
        <f>G31-G28</f>
        <v>50</v>
      </c>
      <c r="I32" s="660"/>
      <c r="J32" s="141" t="s">
        <v>227</v>
      </c>
      <c r="K32" s="556" t="s">
        <v>228</v>
      </c>
      <c r="L32" s="679"/>
      <c r="M32" s="556" t="s">
        <v>229</v>
      </c>
      <c r="N32" s="557"/>
      <c r="O32" s="141" t="s">
        <v>230</v>
      </c>
      <c r="P32" s="141" t="s">
        <v>231</v>
      </c>
      <c r="Q32" s="141" t="s">
        <v>232</v>
      </c>
      <c r="R32" s="141" t="s">
        <v>233</v>
      </c>
      <c r="S32" s="141" t="s">
        <v>157</v>
      </c>
      <c r="T32" s="563" t="s">
        <v>215</v>
      </c>
      <c r="U32" s="564"/>
    </row>
    <row r="33" spans="2:23" ht="15.6" customHeight="1">
      <c r="B33" s="543" t="s">
        <v>171</v>
      </c>
      <c r="C33" s="142"/>
      <c r="D33" s="129">
        <f>INDEX(HAROKAT!U196:U207,MATCH(PROSES!D32,HAROKAT!V196:V207),1)</f>
        <v>2</v>
      </c>
      <c r="E33" s="143">
        <f>IF(D37&gt;D36,D33+1,D33)</f>
        <v>2</v>
      </c>
      <c r="F33" s="144">
        <f>IF(AND(G33=12,G37&gt;G36),G29+1,G29)</f>
        <v>2026</v>
      </c>
      <c r="G33" s="145">
        <f>INDEX(HAROKAT!$U196:$U207,MATCH(G32,HAROKAT!$V196:$V207),1)</f>
        <v>2</v>
      </c>
      <c r="I33" s="661"/>
      <c r="J33" s="146" t="s">
        <v>234</v>
      </c>
      <c r="K33" s="500" t="s">
        <v>40</v>
      </c>
      <c r="L33" s="674"/>
      <c r="M33" s="500">
        <f>O27</f>
        <v>44.064799999999877</v>
      </c>
      <c r="N33" s="501"/>
      <c r="O33" s="146">
        <f>INT(M33)</f>
        <v>44</v>
      </c>
      <c r="P33" s="146">
        <f>O33+1</f>
        <v>45</v>
      </c>
      <c r="Q33" s="146">
        <f>VLOOKUP(O33,TDL,10)</f>
        <v>1.33</v>
      </c>
      <c r="R33" s="146">
        <f>VLOOKUP(P33,TDL,10)</f>
        <v>1.3537999999999999</v>
      </c>
      <c r="S33" s="146">
        <f>M33-INT(M33)</f>
        <v>6.47999999998774E-2</v>
      </c>
      <c r="T33" s="563">
        <f>Q33-(Q33-R33)*S33</f>
        <v>1.3315422399999972</v>
      </c>
      <c r="U33" s="564"/>
    </row>
    <row r="34" spans="2:23" ht="15.6" customHeight="1">
      <c r="B34" s="543"/>
      <c r="C34" s="142"/>
      <c r="D34" s="135" t="str">
        <f>VLOOKUP(D33,B50:D61,3)</f>
        <v>FEBRUARI</v>
      </c>
      <c r="E34" s="136" t="str">
        <f>VLOOKUP(E33,$B50:$D61,3)</f>
        <v>FEBRUARI</v>
      </c>
      <c r="F34" s="144" t="s">
        <v>216</v>
      </c>
      <c r="G34" s="138" t="str">
        <f>VLOOKUP(G33,$B50:$D61,3)</f>
        <v>FEBRUARI</v>
      </c>
      <c r="I34" s="661"/>
      <c r="J34" s="146" t="s">
        <v>235</v>
      </c>
      <c r="K34" s="500" t="s">
        <v>331</v>
      </c>
      <c r="L34" s="674"/>
      <c r="M34" s="500">
        <f>MOD(2*O27,360)</f>
        <v>88.129599999999755</v>
      </c>
      <c r="N34" s="501"/>
      <c r="O34" s="146">
        <f>INT(M34)</f>
        <v>88</v>
      </c>
      <c r="P34" s="146">
        <f>O34+1</f>
        <v>89</v>
      </c>
      <c r="Q34" s="146">
        <f>VLOOKUP(O34,TDL,11)</f>
        <v>0.02</v>
      </c>
      <c r="R34" s="146">
        <f>VLOOKUP(P34,TDL,11)</f>
        <v>0.02</v>
      </c>
      <c r="S34" s="146">
        <f>M34-INT(M34)</f>
        <v>0.1295999999997548</v>
      </c>
      <c r="T34" s="563">
        <f>Q34-(Q34-R34)*S34</f>
        <v>0.02</v>
      </c>
      <c r="U34" s="564"/>
    </row>
    <row r="35" spans="2:23" ht="15.6" customHeight="1">
      <c r="B35" s="133" t="s">
        <v>168</v>
      </c>
      <c r="C35" s="134"/>
      <c r="D35" s="118">
        <f>INDEX(HAROKAT!V196:V207,MATCH(D32,HAROKAT!V196:V207),1)</f>
        <v>31</v>
      </c>
      <c r="E35" s="147">
        <f>INDEX(HAROKAT!$V196:$V207,MATCH(D32,HAROKAT!$V196:$V207),1)</f>
        <v>31</v>
      </c>
      <c r="F35" s="140">
        <f>IF(G37&gt;G36,G33+1,G33)</f>
        <v>2</v>
      </c>
      <c r="G35" s="148">
        <f>INDEX(HAROKAT!$V196:$V207,MATCH(G32,HAROKAT!$V196:$V207),1)</f>
        <v>31</v>
      </c>
      <c r="I35" s="662"/>
      <c r="J35" s="530" t="s">
        <v>263</v>
      </c>
      <c r="K35" s="531"/>
      <c r="L35" s="531"/>
      <c r="M35" s="531"/>
      <c r="N35" s="531"/>
      <c r="O35" s="531"/>
      <c r="P35" s="531"/>
      <c r="Q35" s="532"/>
      <c r="R35" s="508" t="str">
        <f>IF(T35&lt;0,"- ", )&amp;TEXT(ABS(T35/24),"[hh]° mm' ss.00")&amp;""""</f>
        <v>328° 48' 10.59"</v>
      </c>
      <c r="S35" s="509"/>
      <c r="T35" s="675">
        <f>S+T33+T34</f>
        <v>328.80294223999988</v>
      </c>
      <c r="U35" s="676"/>
    </row>
    <row r="36" spans="2:23" ht="15.6">
      <c r="B36" s="149" t="s">
        <v>323</v>
      </c>
      <c r="C36" s="150"/>
      <c r="D36" s="109">
        <f>IF(MOD(D29,4)=0,VLOOKUP($D33,$B50:F61,4),VLOOKUP(D33,$B50:$F61,5))</f>
        <v>28</v>
      </c>
      <c r="E36" s="136">
        <f>IF(MOD(E29,4)=0,VLOOKUP($D33,$B50:G61,4),VLOOKUP(E33,$B50:$F61,5))</f>
        <v>28</v>
      </c>
      <c r="F36" s="151" t="str">
        <f>VLOOKUP(F35,B$50:D$61,3)</f>
        <v>FEBRUARI</v>
      </c>
      <c r="G36" s="138">
        <f>IF(MOD(F29,4)=0,VLOOKUP($D33,$B50:I61,4),VLOOKUP(G33,$B50:$F61,5))</f>
        <v>28</v>
      </c>
      <c r="I36" s="152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53"/>
    </row>
    <row r="37" spans="2:23" ht="18">
      <c r="B37" s="149"/>
      <c r="C37" s="150"/>
      <c r="D37" s="109">
        <f>D32-D35</f>
        <v>17</v>
      </c>
      <c r="E37" s="136">
        <f>E32-E35</f>
        <v>17</v>
      </c>
      <c r="F37" s="154" t="s">
        <v>329</v>
      </c>
      <c r="G37" s="138">
        <f>G32-G35</f>
        <v>19</v>
      </c>
      <c r="I37" s="155">
        <v>2</v>
      </c>
      <c r="J37" s="608" t="s">
        <v>238</v>
      </c>
      <c r="K37" s="608"/>
      <c r="L37" s="608"/>
      <c r="M37" s="608"/>
      <c r="N37" s="608"/>
      <c r="O37" s="608"/>
      <c r="P37" s="608"/>
      <c r="Q37" s="609"/>
      <c r="R37" s="581" t="str">
        <f>IF(T37&lt;0,"- ", )&amp;TEXT(ABS(T37/24),"[hh]° mm' ss.00")&amp;""""</f>
        <v>- 11° 53' 19.84"</v>
      </c>
      <c r="S37" s="582"/>
      <c r="T37" s="648">
        <f>ASIN(SIN(TS*PI)*SIN(O*PI))/PI</f>
        <v>-11.888843706942163</v>
      </c>
      <c r="U37" s="649"/>
    </row>
    <row r="38" spans="2:23" ht="15.6" customHeight="1">
      <c r="B38" s="156" t="s">
        <v>172</v>
      </c>
      <c r="C38" s="150"/>
      <c r="D38" s="109">
        <f>IF(D37&gt;D36,D37-D36,D37)</f>
        <v>17</v>
      </c>
      <c r="E38" s="136">
        <f>IF(E37&gt;E36,E37-E36,E37)</f>
        <v>17</v>
      </c>
      <c r="F38" s="157" t="s">
        <v>216</v>
      </c>
      <c r="G38" s="138">
        <f>IF(G37&gt;G36,G37-G36,G37)</f>
        <v>19</v>
      </c>
      <c r="I38" s="671">
        <v>3</v>
      </c>
      <c r="J38" s="663" t="s">
        <v>345</v>
      </c>
      <c r="K38" s="664"/>
      <c r="L38" s="664"/>
      <c r="M38" s="664"/>
      <c r="N38" s="664"/>
      <c r="O38" s="664"/>
      <c r="P38" s="664"/>
      <c r="Q38" s="665"/>
      <c r="R38" s="618" t="str">
        <f>IF(T38&lt;0,"- ", )&amp;TEXT(ABS(T38/24),"[hh]° mm' ss.00")&amp;""""</f>
        <v>- 29° 03' 23.07"</v>
      </c>
      <c r="S38" s="618"/>
      <c r="T38" s="646">
        <f>ATAN(TAN(TS*PI)*COS(O*PI))/PI</f>
        <v>-29.056408958901162</v>
      </c>
      <c r="U38" s="647"/>
    </row>
    <row r="39" spans="2:23" ht="15.6" customHeight="1">
      <c r="B39" s="158" t="s">
        <v>198</v>
      </c>
      <c r="C39" s="159"/>
      <c r="D39" s="130">
        <f>'Delta T'!C22</f>
        <v>75.154286098152056</v>
      </c>
      <c r="E39" s="160"/>
      <c r="F39" s="443">
        <f>MENU!D10</f>
        <v>9</v>
      </c>
      <c r="G39" s="161"/>
      <c r="I39" s="672"/>
      <c r="J39" s="666"/>
      <c r="K39" s="667"/>
      <c r="L39" s="667"/>
      <c r="M39" s="667"/>
      <c r="N39" s="667"/>
      <c r="O39" s="667"/>
      <c r="P39" s="667"/>
      <c r="Q39" s="668"/>
      <c r="R39" s="611" t="str">
        <f>IF(T39&lt;0,"- ", )&amp;TEXT(ABS(T39/24),"[hh]° mm' ss.00")&amp;""""</f>
        <v>330° 56' 36.93"</v>
      </c>
      <c r="S39" s="612"/>
      <c r="T39" s="598">
        <f>IF(AND(T35&gt;0,T35&lt;=90),T38,IF(AND(T35&gt;=90,T35&lt;=270),T38+180,T38+360))</f>
        <v>330.94359104109884</v>
      </c>
      <c r="U39" s="599"/>
    </row>
    <row r="40" spans="2:23" ht="15.6">
      <c r="B40" s="540" t="s">
        <v>332</v>
      </c>
      <c r="C40" s="162" t="s">
        <v>201</v>
      </c>
      <c r="D40" s="109">
        <f>MOD(D26,1)*24</f>
        <v>12.05461248010397</v>
      </c>
      <c r="E40" s="163">
        <f>D40/24</f>
        <v>0.50227552000433207</v>
      </c>
      <c r="F40" s="164" t="str">
        <f>VLOOKUP(F39,B50:C61,2)</f>
        <v>RAMADHAN</v>
      </c>
      <c r="G40" s="165" t="s">
        <v>339</v>
      </c>
      <c r="I40" s="166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8"/>
    </row>
    <row r="41" spans="2:23" ht="15.6" customHeight="1">
      <c r="B41" s="541"/>
      <c r="C41" s="162" t="s">
        <v>202</v>
      </c>
      <c r="D41" s="109">
        <f>D40-(D39/3600)</f>
        <v>12.033736289521149</v>
      </c>
      <c r="E41" s="163">
        <f t="shared" ref="E41:E42" si="3">D41/24</f>
        <v>0.50140567873004793</v>
      </c>
      <c r="F41" s="164" t="s">
        <v>327</v>
      </c>
      <c r="G41" s="167" t="str">
        <f>IF(TZ*15=105,"WIB",IF(TZ*15=120,"WITA",IF(TZ*15=135,"WIT","WD")))</f>
        <v>WIB</v>
      </c>
      <c r="I41" s="168">
        <v>4</v>
      </c>
      <c r="J41" s="565" t="s">
        <v>239</v>
      </c>
      <c r="K41" s="565"/>
      <c r="L41" s="565"/>
      <c r="M41" s="565"/>
      <c r="N41" s="565"/>
      <c r="O41" s="565"/>
      <c r="P41" s="565"/>
      <c r="Q41" s="565"/>
      <c r="R41" s="565"/>
      <c r="S41" s="565"/>
      <c r="T41" s="565"/>
      <c r="U41" s="566"/>
    </row>
    <row r="42" spans="2:23" ht="15.6" customHeight="1">
      <c r="B42" s="542"/>
      <c r="C42" s="162" t="s">
        <v>203</v>
      </c>
      <c r="D42" s="109">
        <f>IF(D41+TZ&lt;0,D41+TZ+24,D41+TZ)</f>
        <v>19.033736289521151</v>
      </c>
      <c r="E42" s="163">
        <f t="shared" si="3"/>
        <v>0.79307234539671467</v>
      </c>
      <c r="F42" s="444">
        <f>MENU!D11</f>
        <v>1447</v>
      </c>
      <c r="G42" s="165"/>
      <c r="I42" s="727"/>
      <c r="J42" s="169" t="s">
        <v>227</v>
      </c>
      <c r="K42" s="534" t="s">
        <v>228</v>
      </c>
      <c r="L42" s="560"/>
      <c r="M42" s="534" t="s">
        <v>229</v>
      </c>
      <c r="N42" s="535"/>
      <c r="O42" s="169" t="s">
        <v>230</v>
      </c>
      <c r="P42" s="169" t="s">
        <v>231</v>
      </c>
      <c r="Q42" s="169" t="s">
        <v>232</v>
      </c>
      <c r="R42" s="169" t="s">
        <v>233</v>
      </c>
      <c r="S42" s="169" t="s">
        <v>157</v>
      </c>
      <c r="T42" s="731" t="s">
        <v>215</v>
      </c>
      <c r="U42" s="732"/>
      <c r="V42" t="str">
        <f>T42</f>
        <v>TA'DIL</v>
      </c>
    </row>
    <row r="43" spans="2:23" ht="15.6" customHeight="1">
      <c r="B43" s="170" t="s">
        <v>204</v>
      </c>
      <c r="C43" s="162" t="s">
        <v>166</v>
      </c>
      <c r="D43" s="109">
        <f>INT(D26+2)</f>
        <v>2461091</v>
      </c>
      <c r="E43" s="445">
        <f>INT(E26+2)</f>
        <v>2461091</v>
      </c>
      <c r="F43" s="171" t="s">
        <v>86</v>
      </c>
      <c r="G43" s="138">
        <f>INT(G25+2)</f>
        <v>2461093</v>
      </c>
      <c r="I43" s="728"/>
      <c r="J43" s="172" t="s">
        <v>234</v>
      </c>
      <c r="K43" s="498" t="s">
        <v>40</v>
      </c>
      <c r="L43" s="622"/>
      <c r="M43" s="498">
        <f>O27</f>
        <v>44.064799999999877</v>
      </c>
      <c r="N43" s="499"/>
      <c r="O43" s="172">
        <f>INT(M43)</f>
        <v>44</v>
      </c>
      <c r="P43" s="172">
        <f>O43+1</f>
        <v>45</v>
      </c>
      <c r="Q43" s="172">
        <f>VLOOKUP(O43,TDL,12)</f>
        <v>-1.201E-2</v>
      </c>
      <c r="R43" s="172">
        <f>VLOOKUP(P43,TDL,12)</f>
        <v>-1.1809999999999999E-2</v>
      </c>
      <c r="S43" s="172">
        <f>M43-INT(M43)</f>
        <v>6.47999999998774E-2</v>
      </c>
      <c r="T43" s="534">
        <f>Q43-(Q43-R43)*S43</f>
        <v>-1.1997040000000025E-2</v>
      </c>
      <c r="U43" s="613"/>
      <c r="V43">
        <f>T43</f>
        <v>-1.1997040000000025E-2</v>
      </c>
    </row>
    <row r="44" spans="2:23" ht="15.6" customHeight="1">
      <c r="B44" s="481" t="s">
        <v>185</v>
      </c>
      <c r="C44" s="173"/>
      <c r="D44" s="174">
        <f>MOD(D43,7)</f>
        <v>3</v>
      </c>
      <c r="E44" s="175">
        <f>MOD(E43,7)</f>
        <v>3</v>
      </c>
      <c r="F44" s="176">
        <f>IF(E44=0,E44+7,E44)</f>
        <v>3</v>
      </c>
      <c r="G44" s="177">
        <f>MOD(G43,7)</f>
        <v>5</v>
      </c>
      <c r="I44" s="728"/>
      <c r="J44" s="172" t="s">
        <v>235</v>
      </c>
      <c r="K44" s="498" t="s">
        <v>236</v>
      </c>
      <c r="L44" s="622"/>
      <c r="M44" s="498">
        <f>MOD(2*O27,360)</f>
        <v>88.129599999999755</v>
      </c>
      <c r="N44" s="499"/>
      <c r="O44" s="172">
        <f>INT(M44)</f>
        <v>88</v>
      </c>
      <c r="P44" s="172">
        <f>O44+1</f>
        <v>89</v>
      </c>
      <c r="Q44" s="172">
        <f>VLOOKUP(O44,TDL,13)</f>
        <v>0</v>
      </c>
      <c r="R44" s="172">
        <f>VLOOKUP(P44,TDL,13)</f>
        <v>0</v>
      </c>
      <c r="S44" s="172">
        <f>M44-INT(M44)</f>
        <v>0.1295999999997548</v>
      </c>
      <c r="T44" s="534">
        <f>Q44-(Q44-R44)*S44</f>
        <v>0</v>
      </c>
      <c r="U44" s="613"/>
      <c r="V44">
        <f>T44</f>
        <v>0</v>
      </c>
    </row>
    <row r="45" spans="2:23" ht="15.6" customHeight="1">
      <c r="B45" s="481"/>
      <c r="C45" s="162"/>
      <c r="D45" s="178" t="str">
        <f>VLOOKUP(D44,$B63:$D70,2)</f>
        <v>SELASA</v>
      </c>
      <c r="E45" s="179" t="str">
        <f>VLOOKUP(E44,$B63:$D70,2)</f>
        <v>SELASA</v>
      </c>
      <c r="F45" s="176">
        <f>IF(MOD(SUM(L15:L17),7)=0,MOD(SUM(L15:L17),7)+7,MOD(SUM(L15:L17),7))</f>
        <v>2</v>
      </c>
      <c r="G45" s="180" t="str">
        <f>VLOOKUP(G44,$B63:$D70,2)</f>
        <v>KAMIS</v>
      </c>
      <c r="I45" s="729"/>
      <c r="J45" s="685" t="s">
        <v>264</v>
      </c>
      <c r="K45" s="686"/>
      <c r="L45" s="686"/>
      <c r="M45" s="686"/>
      <c r="N45" s="686"/>
      <c r="O45" s="686"/>
      <c r="P45" s="686"/>
      <c r="Q45" s="686"/>
      <c r="R45" s="686"/>
      <c r="S45" s="687"/>
      <c r="T45" s="739">
        <f>1.00014+T43+T44</f>
        <v>0.98814296000000001</v>
      </c>
      <c r="U45" s="740"/>
      <c r="V45">
        <f>T45</f>
        <v>0.98814296000000001</v>
      </c>
    </row>
    <row r="46" spans="2:23" ht="15" customHeight="1">
      <c r="B46" s="170" t="s">
        <v>206</v>
      </c>
      <c r="C46" s="162" t="s">
        <v>166</v>
      </c>
      <c r="D46" s="174">
        <f>INT(D26+1)</f>
        <v>2461090</v>
      </c>
      <c r="E46" s="175">
        <f>INT(E26+1)</f>
        <v>2461090</v>
      </c>
      <c r="F46" s="176">
        <f>IF(OR(F44&lt;F45,F44=F45),F44+7,F44)</f>
        <v>3</v>
      </c>
      <c r="G46" s="177">
        <f>INT(G25+1)</f>
        <v>2461092</v>
      </c>
      <c r="I46" s="181"/>
      <c r="J46" s="19"/>
      <c r="K46" s="19"/>
      <c r="L46" s="19"/>
      <c r="M46" s="19"/>
      <c r="N46" s="19"/>
      <c r="O46" s="19"/>
      <c r="P46" s="19"/>
      <c r="Q46" s="182"/>
      <c r="R46" s="182"/>
      <c r="S46" s="182"/>
      <c r="T46" s="743"/>
      <c r="U46" s="744"/>
    </row>
    <row r="47" spans="2:23" ht="15" customHeight="1">
      <c r="B47" s="481" t="s">
        <v>205</v>
      </c>
      <c r="C47" s="183"/>
      <c r="D47" s="109">
        <f>MOD(D46,5)</f>
        <v>0</v>
      </c>
      <c r="E47" s="136">
        <f>MOD(E46,5)</f>
        <v>0</v>
      </c>
      <c r="F47" s="184">
        <f>F46-F45</f>
        <v>1</v>
      </c>
      <c r="G47" s="138">
        <f>MOD(G46,5)</f>
        <v>2</v>
      </c>
      <c r="I47" s="185">
        <v>5</v>
      </c>
      <c r="J47" s="725" t="s">
        <v>247</v>
      </c>
      <c r="K47" s="726"/>
      <c r="L47" s="726"/>
      <c r="M47" s="726"/>
      <c r="N47" s="726"/>
      <c r="O47" s="726"/>
      <c r="P47" s="726"/>
      <c r="Q47" s="726"/>
      <c r="R47" s="737" t="str">
        <f>IF(T47&lt;0,"- ", )&amp;TEXT(ABS(T47/24),"[hh]° mm' ss.00")&amp;""""</f>
        <v>00° 16' 11.14"</v>
      </c>
      <c r="S47" s="738"/>
      <c r="T47" s="718">
        <f>(0+15/60+59.63/3600)/T45</f>
        <v>0.26976247332560954</v>
      </c>
      <c r="U47" s="719"/>
      <c r="W47">
        <f t="shared" ref="W47:W54" si="4">T47</f>
        <v>0.26976247332560954</v>
      </c>
    </row>
    <row r="48" spans="2:23" ht="15.6" customHeight="1">
      <c r="B48" s="482"/>
      <c r="C48" s="186"/>
      <c r="D48" s="187" t="str">
        <f>VLOOKUP(D47,$B63:$D70,3)</f>
        <v>KLIWON</v>
      </c>
      <c r="E48" s="188" t="str">
        <f>VLOOKUP(E47,$B63:$D70,3)</f>
        <v>KLIWON</v>
      </c>
      <c r="F48" s="189">
        <f>IF(F47=6,27,IF(F47=7,28,IF(F47=1,29,30)))</f>
        <v>29</v>
      </c>
      <c r="G48" s="190" t="str">
        <f>VLOOKUP(G47,$B63:$D70,3)</f>
        <v>PAHING</v>
      </c>
      <c r="I48" s="191">
        <v>6</v>
      </c>
      <c r="J48" s="502" t="s">
        <v>244</v>
      </c>
      <c r="K48" s="503"/>
      <c r="L48" s="503"/>
      <c r="M48" s="503"/>
      <c r="N48" s="503"/>
      <c r="O48" s="503"/>
      <c r="P48" s="503"/>
      <c r="Q48" s="503"/>
      <c r="R48" s="577" t="str">
        <f>IF(T48&lt;0,"- ", )&amp;TEXT(ABS(T48/24),"[hh]° mm' ss.00")&amp;""""</f>
        <v>- 00° 13' 58.13"</v>
      </c>
      <c r="S48" s="578"/>
      <c r="T48" s="588">
        <f>(S-am)/15</f>
        <v>-0.23281273607326133</v>
      </c>
      <c r="U48" s="589"/>
      <c r="W48">
        <f t="shared" si="4"/>
        <v>-0.23281273607326133</v>
      </c>
    </row>
    <row r="49" spans="2:23" ht="15.6" customHeight="1">
      <c r="B49" s="192"/>
      <c r="C49" s="192"/>
      <c r="D49" s="192"/>
      <c r="E49" s="192"/>
      <c r="F49" s="193"/>
      <c r="G49" s="194"/>
      <c r="I49" s="191">
        <v>7</v>
      </c>
      <c r="J49" s="502" t="s">
        <v>245</v>
      </c>
      <c r="K49" s="503"/>
      <c r="L49" s="503"/>
      <c r="M49" s="503"/>
      <c r="N49" s="503"/>
      <c r="O49" s="503"/>
      <c r="P49" s="503"/>
      <c r="Q49" s="503"/>
      <c r="R49" s="577" t="str">
        <f t="shared" ref="R49:R51" si="5">IF(T49&lt;0,"- ", )&amp;TEXT(ABS(T49/24),"[hh]° mm' ss.00")&amp;""""</f>
        <v>00° 05' 33.94"</v>
      </c>
      <c r="S49" s="578"/>
      <c r="T49" s="588">
        <f>(1.76/60)*(SQRT(TT))</f>
        <v>9.276014469827247E-2</v>
      </c>
      <c r="U49" s="589"/>
      <c r="W49">
        <f t="shared" si="4"/>
        <v>9.276014469827247E-2</v>
      </c>
    </row>
    <row r="50" spans="2:23" ht="15.6" customHeight="1">
      <c r="B50" s="195">
        <v>1</v>
      </c>
      <c r="C50" s="9" t="s">
        <v>300</v>
      </c>
      <c r="D50" s="9" t="s">
        <v>50</v>
      </c>
      <c r="E50" s="9">
        <v>31</v>
      </c>
      <c r="F50" s="196">
        <v>31</v>
      </c>
      <c r="I50" s="191">
        <v>8</v>
      </c>
      <c r="J50" s="502" t="s">
        <v>246</v>
      </c>
      <c r="K50" s="503"/>
      <c r="L50" s="503"/>
      <c r="M50" s="503"/>
      <c r="N50" s="503"/>
      <c r="O50" s="503"/>
      <c r="P50" s="503"/>
      <c r="Q50" s="503"/>
      <c r="R50" s="577" t="str">
        <f t="shared" si="5"/>
        <v>- 00° 56' 15.08"</v>
      </c>
      <c r="S50" s="578"/>
      <c r="T50" s="588">
        <f>-(sd+34.5/60+Dip)</f>
        <v>-0.93752261802388193</v>
      </c>
      <c r="U50" s="589"/>
      <c r="W50">
        <f t="shared" si="4"/>
        <v>-0.93752261802388193</v>
      </c>
    </row>
    <row r="51" spans="2:23" ht="15.6">
      <c r="B51" s="197">
        <v>2</v>
      </c>
      <c r="C51" s="21" t="s">
        <v>101</v>
      </c>
      <c r="D51" s="21" t="s">
        <v>169</v>
      </c>
      <c r="E51" s="21">
        <v>29</v>
      </c>
      <c r="F51" s="198">
        <v>28</v>
      </c>
      <c r="G51" s="199"/>
      <c r="I51" s="191">
        <v>9</v>
      </c>
      <c r="J51" s="502" t="s">
        <v>242</v>
      </c>
      <c r="K51" s="503"/>
      <c r="L51" s="503"/>
      <c r="M51" s="503"/>
      <c r="N51" s="503"/>
      <c r="O51" s="503"/>
      <c r="P51" s="503"/>
      <c r="Q51" s="503"/>
      <c r="R51" s="577" t="str">
        <f t="shared" si="5"/>
        <v>92° 33' 36.91"</v>
      </c>
      <c r="S51" s="578"/>
      <c r="T51" s="588">
        <f>ACOS(-TAN(LT*PI)*TAN(dm*PI)+SIN(hm*PI)/COS(LT*PI)/COS(dm*PI))/PI</f>
        <v>92.560253234473336</v>
      </c>
      <c r="U51" s="589"/>
      <c r="W51">
        <f t="shared" si="4"/>
        <v>92.560253234473336</v>
      </c>
    </row>
    <row r="52" spans="2:23" ht="15.6">
      <c r="B52" s="197">
        <v>3</v>
      </c>
      <c r="C52" s="21" t="s">
        <v>301</v>
      </c>
      <c r="D52" s="21" t="s">
        <v>52</v>
      </c>
      <c r="E52" s="21">
        <v>31</v>
      </c>
      <c r="F52" s="198">
        <v>31</v>
      </c>
      <c r="G52" s="199"/>
      <c r="I52" s="191">
        <v>10</v>
      </c>
      <c r="J52" s="502" t="s">
        <v>248</v>
      </c>
      <c r="K52" s="503"/>
      <c r="L52" s="503"/>
      <c r="M52" s="503"/>
      <c r="N52" s="503"/>
      <c r="O52" s="503"/>
      <c r="P52" s="503"/>
      <c r="Q52" s="503"/>
      <c r="R52" s="610"/>
      <c r="S52" s="610"/>
      <c r="T52" s="588"/>
      <c r="U52" s="589"/>
      <c r="W52">
        <f t="shared" si="4"/>
        <v>0</v>
      </c>
    </row>
    <row r="53" spans="2:23" ht="15.6" customHeight="1">
      <c r="B53" s="197">
        <v>4</v>
      </c>
      <c r="C53" s="21" t="s">
        <v>302</v>
      </c>
      <c r="D53" s="21" t="s">
        <v>53</v>
      </c>
      <c r="E53" s="21">
        <v>30</v>
      </c>
      <c r="F53" s="198">
        <v>30</v>
      </c>
      <c r="G53" s="199"/>
      <c r="I53" s="200"/>
      <c r="J53" s="494" t="s">
        <v>240</v>
      </c>
      <c r="K53" s="495"/>
      <c r="L53" s="495"/>
      <c r="M53" s="495"/>
      <c r="N53" s="495"/>
      <c r="O53" s="495"/>
      <c r="P53" s="495"/>
      <c r="Q53" s="495"/>
      <c r="R53" s="641">
        <f>T53/24</f>
        <v>0.76681234520992281</v>
      </c>
      <c r="S53" s="641"/>
      <c r="T53" s="588">
        <f>GM/15+12-T48</f>
        <v>18.403496285038148</v>
      </c>
      <c r="U53" s="589"/>
      <c r="W53">
        <f t="shared" si="4"/>
        <v>18.403496285038148</v>
      </c>
    </row>
    <row r="54" spans="2:23" ht="15.6" customHeight="1">
      <c r="B54" s="197">
        <v>5</v>
      </c>
      <c r="C54" s="21" t="s">
        <v>303</v>
      </c>
      <c r="D54" s="21" t="s">
        <v>54</v>
      </c>
      <c r="E54" s="21">
        <v>31</v>
      </c>
      <c r="F54" s="198">
        <v>31</v>
      </c>
      <c r="G54" s="199"/>
      <c r="I54" s="200"/>
      <c r="J54" s="494" t="s">
        <v>241</v>
      </c>
      <c r="K54" s="495"/>
      <c r="L54" s="495"/>
      <c r="M54" s="495"/>
      <c r="N54" s="495"/>
      <c r="O54" s="495"/>
      <c r="P54" s="495"/>
      <c r="Q54" s="495"/>
      <c r="R54" s="641">
        <f>T54/24</f>
        <v>0.75773286990128097</v>
      </c>
      <c r="S54" s="641"/>
      <c r="T54" s="485">
        <f>LMT+((TZ*15)-BT)/15</f>
        <v>18.185588877630742</v>
      </c>
      <c r="U54" s="486"/>
      <c r="W54">
        <f t="shared" si="4"/>
        <v>18.185588877630742</v>
      </c>
    </row>
    <row r="55" spans="2:23" ht="18" customHeight="1">
      <c r="B55" s="197">
        <v>6</v>
      </c>
      <c r="C55" s="21" t="s">
        <v>344</v>
      </c>
      <c r="D55" s="21" t="s">
        <v>55</v>
      </c>
      <c r="E55" s="21">
        <v>30</v>
      </c>
      <c r="F55" s="198">
        <v>30</v>
      </c>
      <c r="G55" s="199"/>
      <c r="I55" s="201">
        <v>11</v>
      </c>
      <c r="J55" s="548" t="s">
        <v>243</v>
      </c>
      <c r="K55" s="549"/>
      <c r="L55" s="549"/>
      <c r="M55" s="549"/>
      <c r="N55" s="549"/>
      <c r="O55" s="549"/>
      <c r="P55" s="549"/>
      <c r="Q55" s="550"/>
      <c r="R55" s="577" t="str">
        <f>IF(T55&lt;0,"- ", )&amp;TEXT(ABS(T55/24),"[hh]° mm' ss.00")&amp;""""</f>
        <v>- 12° 07' 18.67"</v>
      </c>
      <c r="S55" s="578"/>
      <c r="T55" s="639">
        <f>ATAN(-SIN(LT*PI)/TAN(GM*PI)+COS(LT*PI)*TAN(dm*PI)/SIN(GM*PI))/PI</f>
        <v>-12.121854093922943</v>
      </c>
      <c r="U55" s="640"/>
      <c r="V55">
        <f>Azm+270</f>
        <v>257.87814590607707</v>
      </c>
      <c r="W55">
        <f>V55</f>
        <v>257.87814590607707</v>
      </c>
    </row>
    <row r="56" spans="2:23" ht="19.5" customHeight="1">
      <c r="B56" s="197">
        <v>7</v>
      </c>
      <c r="C56" s="21" t="s">
        <v>105</v>
      </c>
      <c r="D56" s="21" t="s">
        <v>56</v>
      </c>
      <c r="E56" s="21">
        <v>31</v>
      </c>
      <c r="F56" s="198">
        <v>31</v>
      </c>
      <c r="G56" s="199"/>
      <c r="I56" s="202"/>
      <c r="J56" s="203"/>
      <c r="K56" s="203"/>
      <c r="L56" s="203"/>
      <c r="M56" s="203"/>
      <c r="N56" s="203"/>
      <c r="O56" s="203"/>
      <c r="P56" s="203"/>
      <c r="Q56" s="203"/>
      <c r="R56" s="204"/>
      <c r="S56" s="204"/>
      <c r="T56" s="652"/>
      <c r="U56" s="652"/>
    </row>
    <row r="57" spans="2:23" ht="22.5" customHeight="1">
      <c r="B57" s="197">
        <v>8</v>
      </c>
      <c r="C57" s="21" t="s">
        <v>106</v>
      </c>
      <c r="D57" s="21" t="s">
        <v>57</v>
      </c>
      <c r="E57" s="21">
        <v>31</v>
      </c>
      <c r="F57" s="198">
        <v>31</v>
      </c>
      <c r="G57" s="199"/>
      <c r="I57" s="600" t="s">
        <v>249</v>
      </c>
      <c r="J57" s="601"/>
      <c r="K57" s="601"/>
      <c r="L57" s="601"/>
      <c r="M57" s="601"/>
      <c r="N57" s="601"/>
      <c r="O57" s="601"/>
      <c r="P57" s="601"/>
      <c r="Q57" s="601"/>
      <c r="R57" s="601"/>
      <c r="S57" s="601"/>
      <c r="T57" s="601"/>
      <c r="U57" s="602"/>
    </row>
    <row r="58" spans="2:23" ht="18.899999999999999" customHeight="1">
      <c r="B58" s="197">
        <v>9</v>
      </c>
      <c r="C58" s="21" t="s">
        <v>304</v>
      </c>
      <c r="D58" s="21" t="s">
        <v>58</v>
      </c>
      <c r="E58" s="21">
        <v>30</v>
      </c>
      <c r="F58" s="198">
        <v>30</v>
      </c>
      <c r="G58" s="199"/>
      <c r="I58" s="205">
        <v>1</v>
      </c>
      <c r="J58" s="603" t="s">
        <v>250</v>
      </c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5"/>
    </row>
    <row r="59" spans="2:23">
      <c r="B59" s="197">
        <v>10</v>
      </c>
      <c r="C59" s="21" t="s">
        <v>13</v>
      </c>
      <c r="D59" s="21" t="s">
        <v>59</v>
      </c>
      <c r="E59" s="21">
        <v>31</v>
      </c>
      <c r="F59" s="198">
        <v>31</v>
      </c>
      <c r="G59" s="199"/>
      <c r="I59" s="536"/>
      <c r="J59" s="206" t="s">
        <v>227</v>
      </c>
      <c r="K59" s="533" t="s">
        <v>228</v>
      </c>
      <c r="L59" s="533"/>
      <c r="M59" s="533" t="s">
        <v>229</v>
      </c>
      <c r="N59" s="533"/>
      <c r="O59" s="207" t="s">
        <v>230</v>
      </c>
      <c r="P59" s="207" t="s">
        <v>231</v>
      </c>
      <c r="Q59" s="207" t="s">
        <v>232</v>
      </c>
      <c r="R59" s="207" t="s">
        <v>233</v>
      </c>
      <c r="S59" s="207" t="s">
        <v>157</v>
      </c>
      <c r="T59" s="533" t="s">
        <v>215</v>
      </c>
      <c r="U59" s="592"/>
      <c r="W59" t="str">
        <f t="shared" ref="W59:W69" si="6">T59</f>
        <v>TA'DIL</v>
      </c>
    </row>
    <row r="60" spans="2:23">
      <c r="B60" s="197">
        <v>11</v>
      </c>
      <c r="C60" s="21" t="s">
        <v>296</v>
      </c>
      <c r="D60" s="21" t="s">
        <v>170</v>
      </c>
      <c r="E60" s="21">
        <v>30</v>
      </c>
      <c r="F60" s="198">
        <v>30</v>
      </c>
      <c r="G60" s="199"/>
      <c r="I60" s="537"/>
      <c r="J60" s="208" t="s">
        <v>251</v>
      </c>
      <c r="K60" s="529" t="s">
        <v>33</v>
      </c>
      <c r="L60" s="529"/>
      <c r="M60" s="490">
        <f>Q27</f>
        <v>266.81449999999995</v>
      </c>
      <c r="N60" s="491"/>
      <c r="O60" s="209">
        <f>INT(M60)</f>
        <v>266</v>
      </c>
      <c r="P60" s="209">
        <f>O60+1</f>
        <v>267</v>
      </c>
      <c r="Q60" s="209">
        <f>VLOOKUP(O60,TDL,14)</f>
        <v>-6.2735000000000003</v>
      </c>
      <c r="R60" s="209">
        <f>VLOOKUP(P60,TDL,14)</f>
        <v>-6.2801999999999998</v>
      </c>
      <c r="S60" s="209">
        <f>M60-INT(M60)</f>
        <v>0.81449999999995271</v>
      </c>
      <c r="T60" s="573">
        <f>Q60-(Q60-R60)*S60</f>
        <v>-6.2789571499999992</v>
      </c>
      <c r="U60" s="574"/>
      <c r="W60">
        <f t="shared" si="6"/>
        <v>-6.2789571499999992</v>
      </c>
    </row>
    <row r="61" spans="2:23">
      <c r="B61" s="210">
        <v>12</v>
      </c>
      <c r="C61" s="211" t="s">
        <v>305</v>
      </c>
      <c r="D61" s="211" t="s">
        <v>61</v>
      </c>
      <c r="E61" s="211">
        <v>31</v>
      </c>
      <c r="F61" s="212">
        <v>31</v>
      </c>
      <c r="G61" s="199"/>
      <c r="I61" s="537"/>
      <c r="J61" s="208" t="s">
        <v>252</v>
      </c>
      <c r="K61" s="529" t="s">
        <v>281</v>
      </c>
      <c r="L61" s="529"/>
      <c r="M61" s="490">
        <f>IF(2*S27-Q27&lt;0,((2*S27)-Q27)+360,MOD(2*S27-Q27,360))</f>
        <v>105.08030000000025</v>
      </c>
      <c r="N61" s="491"/>
      <c r="O61" s="209">
        <f t="shared" ref="O61:O68" si="7">INT(M61)</f>
        <v>105</v>
      </c>
      <c r="P61" s="209">
        <f t="shared" ref="P61:P68" si="8">O61+1</f>
        <v>106</v>
      </c>
      <c r="Q61" s="209">
        <f>VLOOKUP(O61,TDL,15)</f>
        <v>1.2305999999999999</v>
      </c>
      <c r="R61" s="209">
        <f>VLOOKUP(P61,TDL,15)</f>
        <v>1.2246999999999999</v>
      </c>
      <c r="S61" s="209">
        <f t="shared" ref="S61:S68" si="9">M61-INT(M61)</f>
        <v>8.0300000000249838E-2</v>
      </c>
      <c r="T61" s="573">
        <f t="shared" ref="T61:T68" si="10">Q61-(Q61-R61)*S61</f>
        <v>1.2301262299999984</v>
      </c>
      <c r="U61" s="574"/>
      <c r="W61">
        <f t="shared" si="6"/>
        <v>1.2301262299999984</v>
      </c>
    </row>
    <row r="62" spans="2:23">
      <c r="B62" s="30"/>
      <c r="C62" s="30"/>
      <c r="D62" s="30"/>
      <c r="F62" s="30"/>
      <c r="G62" s="199"/>
      <c r="I62" s="537"/>
      <c r="J62" s="208" t="s">
        <v>253</v>
      </c>
      <c r="K62" s="529" t="s">
        <v>282</v>
      </c>
      <c r="L62" s="529"/>
      <c r="M62" s="490">
        <f>MOD(2*S27,360)</f>
        <v>11.894800000000194</v>
      </c>
      <c r="N62" s="491"/>
      <c r="O62" s="209">
        <f t="shared" si="7"/>
        <v>11</v>
      </c>
      <c r="P62" s="209">
        <f t="shared" si="8"/>
        <v>12</v>
      </c>
      <c r="Q62" s="209">
        <f>VLOOKUP(O62,TDL,16)</f>
        <v>0.12559999999999999</v>
      </c>
      <c r="R62" s="209">
        <f>VLOOKUP(P62,TDL,16)</f>
        <v>0.13689999999999999</v>
      </c>
      <c r="S62" s="209">
        <f t="shared" si="9"/>
        <v>0.89480000000019366</v>
      </c>
      <c r="T62" s="573">
        <f t="shared" si="10"/>
        <v>0.13571124000000218</v>
      </c>
      <c r="U62" s="574"/>
      <c r="W62">
        <f t="shared" si="6"/>
        <v>0.13571124000000218</v>
      </c>
    </row>
    <row r="63" spans="2:23">
      <c r="B63" s="213">
        <v>0</v>
      </c>
      <c r="C63" s="214" t="s">
        <v>179</v>
      </c>
      <c r="D63" s="215" t="s">
        <v>184</v>
      </c>
      <c r="I63" s="537"/>
      <c r="J63" s="208" t="s">
        <v>254</v>
      </c>
      <c r="K63" s="529" t="s">
        <v>283</v>
      </c>
      <c r="L63" s="529"/>
      <c r="M63" s="490">
        <f>MOD(2*Q27,360)</f>
        <v>173.62899999999991</v>
      </c>
      <c r="N63" s="491"/>
      <c r="O63" s="209">
        <f t="shared" si="7"/>
        <v>173</v>
      </c>
      <c r="P63" s="209">
        <f t="shared" si="8"/>
        <v>174</v>
      </c>
      <c r="Q63" s="209">
        <f>VLOOKUP(O63,TDL,17)</f>
        <v>2.5999999999999999E-2</v>
      </c>
      <c r="R63" s="209">
        <f>VLOOKUP(P63,TDL,17)</f>
        <v>2.23E-2</v>
      </c>
      <c r="S63" s="209">
        <f t="shared" si="9"/>
        <v>0.62899999999990541</v>
      </c>
      <c r="T63" s="573">
        <f t="shared" si="10"/>
        <v>2.3672700000000348E-2</v>
      </c>
      <c r="U63" s="574"/>
      <c r="W63">
        <f t="shared" si="6"/>
        <v>2.3672700000000348E-2</v>
      </c>
    </row>
    <row r="64" spans="2:23">
      <c r="B64" s="216">
        <v>1</v>
      </c>
      <c r="C64" s="30" t="s">
        <v>173</v>
      </c>
      <c r="D64" s="217" t="s">
        <v>180</v>
      </c>
      <c r="F64" s="21"/>
      <c r="G64" s="21"/>
      <c r="I64" s="537"/>
      <c r="J64" s="208" t="s">
        <v>255</v>
      </c>
      <c r="K64" s="529" t="s">
        <v>40</v>
      </c>
      <c r="L64" s="529"/>
      <c r="M64" s="490">
        <f>O27</f>
        <v>44.064799999999877</v>
      </c>
      <c r="N64" s="491"/>
      <c r="O64" s="209">
        <f t="shared" si="7"/>
        <v>44</v>
      </c>
      <c r="P64" s="209">
        <f t="shared" si="8"/>
        <v>45</v>
      </c>
      <c r="Q64" s="209">
        <f>VLOOKUP(O64,TDL,18)</f>
        <v>-0.12859999999999999</v>
      </c>
      <c r="R64" s="209">
        <f>VLOOKUP(P64,TDL,18)</f>
        <v>-0.13089999999999999</v>
      </c>
      <c r="S64" s="209">
        <f t="shared" si="9"/>
        <v>6.47999999998774E-2</v>
      </c>
      <c r="T64" s="573">
        <f t="shared" si="10"/>
        <v>-0.1287490399999997</v>
      </c>
      <c r="U64" s="574"/>
      <c r="W64">
        <f t="shared" si="6"/>
        <v>-0.1287490399999997</v>
      </c>
    </row>
    <row r="65" spans="2:23">
      <c r="B65" s="216">
        <v>2</v>
      </c>
      <c r="C65" s="30" t="s">
        <v>174</v>
      </c>
      <c r="D65" s="217" t="s">
        <v>181</v>
      </c>
      <c r="F65" s="21"/>
      <c r="G65" s="21"/>
      <c r="I65" s="537"/>
      <c r="J65" s="208" t="s">
        <v>256</v>
      </c>
      <c r="K65" s="529" t="s">
        <v>284</v>
      </c>
      <c r="L65" s="529"/>
      <c r="M65" s="490">
        <f>MOD(2*R27,360)</f>
        <v>347.48640000000012</v>
      </c>
      <c r="N65" s="491"/>
      <c r="O65" s="209">
        <f t="shared" si="7"/>
        <v>347</v>
      </c>
      <c r="P65" s="209">
        <f t="shared" si="8"/>
        <v>348</v>
      </c>
      <c r="Q65" s="209">
        <f>VLOOKUP(O65,TDL,19)</f>
        <v>2.5700000000000001E-2</v>
      </c>
      <c r="R65" s="209">
        <f>VLOOKUP(P65,TDL,19)</f>
        <v>2.3800000000000002E-2</v>
      </c>
      <c r="S65" s="209">
        <f t="shared" si="9"/>
        <v>0.48640000000011696</v>
      </c>
      <c r="T65" s="573">
        <f t="shared" si="10"/>
        <v>2.4775839999999778E-2</v>
      </c>
      <c r="U65" s="574"/>
      <c r="W65">
        <f t="shared" si="6"/>
        <v>2.4775839999999778E-2</v>
      </c>
    </row>
    <row r="66" spans="2:23">
      <c r="B66" s="216">
        <v>3</v>
      </c>
      <c r="C66" s="30" t="s">
        <v>175</v>
      </c>
      <c r="D66" s="217" t="s">
        <v>182</v>
      </c>
      <c r="F66" s="21"/>
      <c r="G66" s="21"/>
      <c r="I66" s="537"/>
      <c r="J66" s="208" t="s">
        <v>257</v>
      </c>
      <c r="K66" s="529" t="s">
        <v>285</v>
      </c>
      <c r="L66" s="529"/>
      <c r="M66" s="490">
        <f>MOD((2*S27)-(2*Q27),360)</f>
        <v>198.26580000000024</v>
      </c>
      <c r="N66" s="491"/>
      <c r="O66" s="209">
        <f t="shared" si="7"/>
        <v>198</v>
      </c>
      <c r="P66" s="209">
        <f t="shared" si="8"/>
        <v>199</v>
      </c>
      <c r="Q66" s="209">
        <f>VLOOKUP(O66,TDL,20)</f>
        <v>-1.8200000000000001E-2</v>
      </c>
      <c r="R66" s="209">
        <f>VLOOKUP(P66,TDL,20)</f>
        <v>-1.9099999999999999E-2</v>
      </c>
      <c r="S66" s="209">
        <f t="shared" si="9"/>
        <v>0.26580000000024029</v>
      </c>
      <c r="T66" s="573">
        <f t="shared" si="10"/>
        <v>-1.8439220000000218E-2</v>
      </c>
      <c r="U66" s="574"/>
      <c r="W66">
        <f t="shared" si="6"/>
        <v>-1.8439220000000218E-2</v>
      </c>
    </row>
    <row r="67" spans="2:23">
      <c r="B67" s="216">
        <v>4</v>
      </c>
      <c r="C67" s="30" t="s">
        <v>176</v>
      </c>
      <c r="D67" s="217" t="s">
        <v>183</v>
      </c>
      <c r="F67" s="21"/>
      <c r="G67" s="21"/>
      <c r="I67" s="537"/>
      <c r="J67" s="208" t="s">
        <v>258</v>
      </c>
      <c r="K67" s="529" t="s">
        <v>286</v>
      </c>
      <c r="L67" s="529"/>
      <c r="M67" s="490">
        <f>MOD((2*S27)-O27-Q27,360)</f>
        <v>61.015500000000372</v>
      </c>
      <c r="N67" s="491"/>
      <c r="O67" s="209">
        <f t="shared" si="7"/>
        <v>61</v>
      </c>
      <c r="P67" s="209">
        <f t="shared" si="8"/>
        <v>62</v>
      </c>
      <c r="Q67" s="209">
        <f>VLOOKUP(O67,TDL,21)</f>
        <v>4.99E-2</v>
      </c>
      <c r="R67" s="209">
        <f>VLOOKUP(P67,TDL,21)</f>
        <v>5.04E-2</v>
      </c>
      <c r="S67" s="209">
        <f t="shared" si="9"/>
        <v>1.5500000000372438E-2</v>
      </c>
      <c r="T67" s="573">
        <f t="shared" si="10"/>
        <v>4.9907750000000188E-2</v>
      </c>
      <c r="U67" s="574"/>
      <c r="W67">
        <f t="shared" si="6"/>
        <v>4.9907750000000188E-2</v>
      </c>
    </row>
    <row r="68" spans="2:23">
      <c r="B68" s="216">
        <v>5</v>
      </c>
      <c r="C68" s="30" t="s">
        <v>177</v>
      </c>
      <c r="D68" s="217" t="s">
        <v>184</v>
      </c>
      <c r="F68" s="21"/>
      <c r="G68" s="21"/>
      <c r="I68" s="537"/>
      <c r="J68" s="208" t="s">
        <v>259</v>
      </c>
      <c r="K68" s="529" t="s">
        <v>287</v>
      </c>
      <c r="L68" s="529"/>
      <c r="M68" s="490">
        <f>MOD(2*S27+Q27,360)</f>
        <v>278.70930000000016</v>
      </c>
      <c r="N68" s="491"/>
      <c r="O68" s="209">
        <f t="shared" si="7"/>
        <v>278</v>
      </c>
      <c r="P68" s="209">
        <f t="shared" si="8"/>
        <v>279</v>
      </c>
      <c r="Q68" s="209">
        <f>VLOOKUP(O68,TDL,22)</f>
        <v>-5.28E-2</v>
      </c>
      <c r="R68" s="209">
        <f>VLOOKUP(P68,TDL,22)</f>
        <v>-5.2699999999999997E-2</v>
      </c>
      <c r="S68" s="209">
        <f t="shared" si="9"/>
        <v>0.70930000000015525</v>
      </c>
      <c r="T68" s="573">
        <f t="shared" si="10"/>
        <v>-5.2729069999999982E-2</v>
      </c>
      <c r="U68" s="574"/>
      <c r="W68">
        <f t="shared" si="6"/>
        <v>-5.2729069999999982E-2</v>
      </c>
    </row>
    <row r="69" spans="2:23" ht="15.6">
      <c r="B69" s="216">
        <v>6</v>
      </c>
      <c r="C69" s="30" t="s">
        <v>178</v>
      </c>
      <c r="D69" s="217"/>
      <c r="F69" s="21"/>
      <c r="G69" s="21"/>
      <c r="I69" s="538"/>
      <c r="J69" s="753" t="s">
        <v>260</v>
      </c>
      <c r="K69" s="754"/>
      <c r="L69" s="754"/>
      <c r="M69" s="754"/>
      <c r="N69" s="754"/>
      <c r="O69" s="754"/>
      <c r="P69" s="754"/>
      <c r="Q69" s="755"/>
      <c r="R69" s="492" t="str">
        <f>IF(T69&lt;0,"- ", )&amp;TEXT(ABS(T69/24),"[hh]° mm' ss.00")&amp;""""</f>
        <v>328° 23' 02.47"</v>
      </c>
      <c r="S69" s="493"/>
      <c r="T69" s="492">
        <f>WQ+SUM(T60:U68)</f>
        <v>328.38401928000008</v>
      </c>
      <c r="U69" s="696"/>
      <c r="V69">
        <f>WQ+(SUM(T60:U68))</f>
        <v>328.38401928000008</v>
      </c>
      <c r="W69">
        <f t="shared" si="6"/>
        <v>328.38401928000008</v>
      </c>
    </row>
    <row r="70" spans="2:23">
      <c r="B70" s="218">
        <v>7</v>
      </c>
      <c r="C70" s="219" t="s">
        <v>179</v>
      </c>
      <c r="D70" s="220"/>
      <c r="F70" s="21"/>
      <c r="G70" s="21"/>
      <c r="I70" s="181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221"/>
    </row>
    <row r="71" spans="2:23" ht="15.6">
      <c r="B71" s="30"/>
      <c r="C71" s="30"/>
      <c r="D71" s="30"/>
      <c r="F71" s="21"/>
      <c r="G71" s="21"/>
      <c r="I71" s="222">
        <v>2</v>
      </c>
      <c r="J71" s="745" t="s">
        <v>288</v>
      </c>
      <c r="K71" s="745"/>
      <c r="L71" s="745"/>
      <c r="M71" s="745"/>
      <c r="N71" s="745"/>
      <c r="O71" s="745"/>
      <c r="P71" s="745"/>
      <c r="Q71" s="745"/>
      <c r="R71" s="745"/>
      <c r="S71" s="745"/>
      <c r="T71" s="745"/>
      <c r="U71" s="746"/>
    </row>
    <row r="72" spans="2:23">
      <c r="B72" s="30"/>
      <c r="C72" s="30"/>
      <c r="D72" s="30"/>
      <c r="F72" s="21"/>
      <c r="G72" s="21"/>
      <c r="I72" s="691"/>
      <c r="J72" s="223" t="s">
        <v>227</v>
      </c>
      <c r="K72" s="563" t="s">
        <v>228</v>
      </c>
      <c r="L72" s="563"/>
      <c r="M72" s="563" t="s">
        <v>229</v>
      </c>
      <c r="N72" s="563"/>
      <c r="O72" s="223" t="s">
        <v>230</v>
      </c>
      <c r="P72" s="223" t="s">
        <v>231</v>
      </c>
      <c r="Q72" s="223" t="s">
        <v>232</v>
      </c>
      <c r="R72" s="223" t="s">
        <v>233</v>
      </c>
      <c r="S72" s="223" t="s">
        <v>157</v>
      </c>
      <c r="T72" s="563" t="s">
        <v>215</v>
      </c>
      <c r="U72" s="564"/>
    </row>
    <row r="73" spans="2:23">
      <c r="B73" s="30"/>
      <c r="C73" s="30"/>
      <c r="D73" s="30"/>
      <c r="F73" s="21"/>
      <c r="G73" s="21"/>
      <c r="I73" s="692"/>
      <c r="J73" s="47" t="s">
        <v>251</v>
      </c>
      <c r="K73" s="500" t="s">
        <v>41</v>
      </c>
      <c r="L73" s="501"/>
      <c r="M73" s="500">
        <f>R27</f>
        <v>353.74320000000006</v>
      </c>
      <c r="N73" s="501"/>
      <c r="O73" s="47">
        <f>INT(M73)</f>
        <v>353</v>
      </c>
      <c r="P73" s="47">
        <f>O73+1</f>
        <v>354</v>
      </c>
      <c r="Q73" s="47">
        <f>VLOOKUP(O73,TDL,23)</f>
        <v>-0.625</v>
      </c>
      <c r="R73" s="47">
        <f>VLOOKUP(P73,TDL,23)</f>
        <v>-0.53600000000000003</v>
      </c>
      <c r="S73" s="47">
        <f>M73-INT(M73)</f>
        <v>0.74320000000005848</v>
      </c>
      <c r="T73" s="556">
        <f>Q73-(Q73-R73)*S73</f>
        <v>-0.55885519999999478</v>
      </c>
      <c r="U73" s="561"/>
    </row>
    <row r="74" spans="2:23">
      <c r="B74" s="30"/>
      <c r="C74" s="30"/>
      <c r="D74" s="30"/>
      <c r="F74" s="21"/>
      <c r="G74" s="21"/>
      <c r="I74" s="692"/>
      <c r="J74" s="47" t="s">
        <v>252</v>
      </c>
      <c r="K74" s="500" t="s">
        <v>289</v>
      </c>
      <c r="L74" s="501"/>
      <c r="M74" s="500">
        <f>MOD(Q27+R27,360)</f>
        <v>260.55770000000007</v>
      </c>
      <c r="N74" s="501"/>
      <c r="O74" s="47">
        <f t="shared" ref="O74:O76" si="11">INT(M74)</f>
        <v>260</v>
      </c>
      <c r="P74" s="47">
        <f t="shared" ref="P74:P76" si="12">O74+1</f>
        <v>261</v>
      </c>
      <c r="Q74" s="47">
        <f>VLOOKUP(O74,TDL,24)</f>
        <v>-0.27629999999999999</v>
      </c>
      <c r="R74" s="47">
        <f>VLOOKUP(P74,TDL,24)</f>
        <v>-0.2772</v>
      </c>
      <c r="S74" s="47">
        <f t="shared" ref="S74:S76" si="13">M74-INT(M74)</f>
        <v>0.55770000000006803</v>
      </c>
      <c r="T74" s="556">
        <f t="shared" ref="T74:T76" si="14">Q74-(Q74-R74)*S74</f>
        <v>-0.27680193000000008</v>
      </c>
      <c r="U74" s="561"/>
    </row>
    <row r="75" spans="2:23">
      <c r="B75" s="30"/>
      <c r="C75" s="30"/>
      <c r="D75" s="30"/>
      <c r="F75" s="21"/>
      <c r="G75" s="21"/>
      <c r="I75" s="692"/>
      <c r="J75" s="47" t="s">
        <v>253</v>
      </c>
      <c r="K75" s="500" t="s">
        <v>290</v>
      </c>
      <c r="L75" s="501"/>
      <c r="M75" s="500">
        <f>IF(Q27-R27&lt;0,(Q27-R27)+360,Q27-R27)</f>
        <v>273.07129999999989</v>
      </c>
      <c r="N75" s="501"/>
      <c r="O75" s="47">
        <f t="shared" si="11"/>
        <v>273</v>
      </c>
      <c r="P75" s="47">
        <f t="shared" si="12"/>
        <v>274</v>
      </c>
      <c r="Q75" s="47">
        <f>VLOOKUP(O75,TDL,25)</f>
        <v>-0.27729999999999999</v>
      </c>
      <c r="R75" s="47">
        <f>VLOOKUP(P75,TDL,25)</f>
        <v>-0.27700000000000002</v>
      </c>
      <c r="S75" s="47">
        <f t="shared" si="13"/>
        <v>7.1299999999894226E-2</v>
      </c>
      <c r="T75" s="556">
        <f t="shared" si="14"/>
        <v>-0.27727861000000004</v>
      </c>
      <c r="U75" s="561"/>
    </row>
    <row r="76" spans="2:23">
      <c r="B76" s="30"/>
      <c r="C76" s="30"/>
      <c r="D76" s="30"/>
      <c r="I76" s="692"/>
      <c r="J76" s="47" t="s">
        <v>254</v>
      </c>
      <c r="K76" s="500" t="s">
        <v>291</v>
      </c>
      <c r="L76" s="501"/>
      <c r="M76" s="500">
        <f>IF((2*S27)-R27&lt;0,((2*S27)-R27)+360,MOD((2*S27)-R27,360))</f>
        <v>18.151600000000144</v>
      </c>
      <c r="N76" s="501"/>
      <c r="O76" s="47">
        <f t="shared" si="11"/>
        <v>18</v>
      </c>
      <c r="P76" s="47">
        <f t="shared" si="12"/>
        <v>19</v>
      </c>
      <c r="Q76" s="47">
        <f>VLOOKUP(O76,TDL,26)</f>
        <v>5.3499999999999999E-2</v>
      </c>
      <c r="R76" s="47">
        <f>VLOOKUP(P76,TDL,26)</f>
        <v>5.6399999999999999E-2</v>
      </c>
      <c r="S76" s="47">
        <f t="shared" si="13"/>
        <v>0.15160000000014406</v>
      </c>
      <c r="T76" s="556">
        <f t="shared" si="14"/>
        <v>5.3939640000000413E-2</v>
      </c>
      <c r="U76" s="561"/>
    </row>
    <row r="77" spans="2:23" ht="15.6">
      <c r="B77" s="30"/>
      <c r="C77" s="30"/>
      <c r="D77" s="30"/>
      <c r="E77" s="30"/>
      <c r="F77" s="30"/>
      <c r="G77" s="30"/>
      <c r="H77" s="30"/>
      <c r="I77" s="693"/>
      <c r="J77" s="530" t="s">
        <v>261</v>
      </c>
      <c r="K77" s="531"/>
      <c r="L77" s="531"/>
      <c r="M77" s="531"/>
      <c r="N77" s="531"/>
      <c r="O77" s="531"/>
      <c r="P77" s="531"/>
      <c r="Q77" s="532"/>
      <c r="R77" s="759" t="str">
        <f>IF(T77&lt;0,"- ", )&amp;TEXT(ABS(T77/24),"[hh]° mm' ss.00")&amp;""""</f>
        <v>- 01° 03' 32.39"</v>
      </c>
      <c r="S77" s="760"/>
      <c r="T77" s="741">
        <f>SUM(T73:U76)</f>
        <v>-1.0589960999999943</v>
      </c>
      <c r="U77" s="742"/>
    </row>
    <row r="78" spans="2:23">
      <c r="B78" s="30"/>
      <c r="C78" s="30"/>
      <c r="D78" s="30"/>
      <c r="E78" s="30"/>
      <c r="F78" s="30"/>
      <c r="G78" s="30"/>
      <c r="H78" s="30"/>
      <c r="I78" s="181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221"/>
    </row>
    <row r="79" spans="2:23" ht="18">
      <c r="B79" s="30"/>
      <c r="C79" s="30"/>
      <c r="D79" s="30"/>
      <c r="E79" s="30"/>
      <c r="F79" s="30"/>
      <c r="G79" s="30"/>
      <c r="H79" s="30"/>
      <c r="I79" s="224">
        <v>3</v>
      </c>
      <c r="J79" s="579" t="s">
        <v>262</v>
      </c>
      <c r="K79" s="579"/>
      <c r="L79" s="579"/>
      <c r="M79" s="579"/>
      <c r="N79" s="579"/>
      <c r="O79" s="579"/>
      <c r="P79" s="579"/>
      <c r="Q79" s="579"/>
      <c r="R79" s="624" t="str">
        <f>IF(T79&lt;0,"- ", )&amp;TEXT(ABS(T79/24),"[hh]° mm' ss.00")&amp;""""</f>
        <v>- 13° 01' 38.69"</v>
      </c>
      <c r="S79" s="625"/>
      <c r="T79" s="616">
        <f>ASIN(SIN(B*PI)*COS(O*PI)+COS(B*PI)*SIN(O*PI)*SIN(Mo*PI))/PI</f>
        <v>-13.027414371425252</v>
      </c>
      <c r="U79" s="617"/>
    </row>
    <row r="80" spans="2:23" ht="18" customHeight="1">
      <c r="B80" s="30"/>
      <c r="C80" s="30"/>
      <c r="D80" s="30"/>
      <c r="E80" s="30"/>
      <c r="F80" s="30"/>
      <c r="G80" s="30"/>
      <c r="H80" s="30"/>
      <c r="I80" s="606">
        <v>4</v>
      </c>
      <c r="J80" s="747" t="s">
        <v>346</v>
      </c>
      <c r="K80" s="748"/>
      <c r="L80" s="748"/>
      <c r="M80" s="748"/>
      <c r="N80" s="748"/>
      <c r="O80" s="748"/>
      <c r="P80" s="748"/>
      <c r="Q80" s="749"/>
      <c r="R80" s="590" t="str">
        <f>IF(T80&lt;0,"- ", )&amp;TEXT(ABS(T80/24),"[hh]° mm' ss.00")&amp;""""</f>
        <v>29° 04' 53.84"</v>
      </c>
      <c r="S80" s="591"/>
      <c r="T80" s="757">
        <f>ACOS(COS(Mo*PI)*COS(B*PI)/COS(dc*PI))/PI</f>
        <v>29.081621015352074</v>
      </c>
      <c r="U80" s="758"/>
    </row>
    <row r="81" spans="2:21" ht="15.6">
      <c r="B81" s="30"/>
      <c r="C81" s="30"/>
      <c r="D81" s="30"/>
      <c r="E81" s="30"/>
      <c r="F81" s="30"/>
      <c r="G81" s="30"/>
      <c r="H81" s="30"/>
      <c r="I81" s="607"/>
      <c r="J81" s="750"/>
      <c r="K81" s="751"/>
      <c r="L81" s="751"/>
      <c r="M81" s="751"/>
      <c r="N81" s="751"/>
      <c r="O81" s="751"/>
      <c r="P81" s="751"/>
      <c r="Q81" s="752"/>
      <c r="R81" s="630" t="str">
        <f>IF(T81&lt;0,"- ", )&amp;TEXT(ABS(T81/24),"[hh]° mm' ss.00")&amp;""""</f>
        <v>330° 55' 06.16"</v>
      </c>
      <c r="S81" s="631"/>
      <c r="T81" s="630">
        <f>IF(AND(Mo&gt;0,Mo&lt;180),T80,360-T80)</f>
        <v>330.91837898464792</v>
      </c>
      <c r="U81" s="756"/>
    </row>
    <row r="82" spans="2:21">
      <c r="B82" s="30"/>
      <c r="C82" s="30"/>
      <c r="D82" s="30"/>
      <c r="E82" s="30"/>
      <c r="F82" s="30"/>
      <c r="G82" s="30"/>
      <c r="H82" s="30"/>
      <c r="I82" s="181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221"/>
    </row>
    <row r="83" spans="2:21" ht="17.100000000000001" customHeight="1">
      <c r="B83" s="30"/>
      <c r="C83" s="30"/>
      <c r="D83" s="30"/>
      <c r="E83" s="30"/>
      <c r="F83" s="30"/>
      <c r="G83" s="30"/>
      <c r="H83" s="30"/>
      <c r="I83" s="225">
        <v>5</v>
      </c>
      <c r="J83" s="677" t="s">
        <v>265</v>
      </c>
      <c r="K83" s="677"/>
      <c r="L83" s="677"/>
      <c r="M83" s="677"/>
      <c r="N83" s="677"/>
      <c r="O83" s="677"/>
      <c r="P83" s="677"/>
      <c r="Q83" s="677"/>
      <c r="R83" s="677"/>
      <c r="S83" s="677"/>
      <c r="T83" s="677"/>
      <c r="U83" s="678"/>
    </row>
    <row r="84" spans="2:21">
      <c r="B84" s="30"/>
      <c r="C84" s="30"/>
      <c r="D84" s="30"/>
      <c r="E84" s="30"/>
      <c r="F84" s="30"/>
      <c r="G84" s="30"/>
      <c r="H84" s="30"/>
      <c r="I84" s="593"/>
      <c r="J84" s="226" t="s">
        <v>227</v>
      </c>
      <c r="K84" s="488" t="s">
        <v>228</v>
      </c>
      <c r="L84" s="488"/>
      <c r="M84" s="488" t="s">
        <v>229</v>
      </c>
      <c r="N84" s="488"/>
      <c r="O84" s="226" t="s">
        <v>230</v>
      </c>
      <c r="P84" s="226" t="s">
        <v>231</v>
      </c>
      <c r="Q84" s="226" t="s">
        <v>232</v>
      </c>
      <c r="R84" s="226" t="s">
        <v>233</v>
      </c>
      <c r="S84" s="226" t="s">
        <v>157</v>
      </c>
      <c r="T84" s="488" t="s">
        <v>215</v>
      </c>
      <c r="U84" s="489"/>
    </row>
    <row r="85" spans="2:21">
      <c r="B85" s="30"/>
      <c r="C85" s="30"/>
      <c r="D85" s="30"/>
      <c r="I85" s="594"/>
      <c r="J85" s="227" t="s">
        <v>251</v>
      </c>
      <c r="K85" s="562" t="s">
        <v>33</v>
      </c>
      <c r="L85" s="562"/>
      <c r="M85" s="562">
        <f>Q27</f>
        <v>266.81449999999995</v>
      </c>
      <c r="N85" s="562"/>
      <c r="O85" s="227">
        <f>INT(M85)</f>
        <v>266</v>
      </c>
      <c r="P85" s="227">
        <f>O85+1</f>
        <v>267</v>
      </c>
      <c r="Q85" s="227">
        <f>VLOOKUP(O85,TDL,27)</f>
        <v>1458.2837999999999</v>
      </c>
      <c r="R85" s="227">
        <f>VLOOKUP(P85,TDL,27)</f>
        <v>1094.1016999999999</v>
      </c>
      <c r="S85" s="227">
        <f>M85-INT(M85)</f>
        <v>0.81449999999995271</v>
      </c>
      <c r="T85" s="488">
        <f>Q85-(Q85-R85)*S85</f>
        <v>1161.6574795500171</v>
      </c>
      <c r="U85" s="489"/>
    </row>
    <row r="86" spans="2:21">
      <c r="B86" s="30"/>
      <c r="C86" s="30"/>
      <c r="D86" s="228">
        <v>2457899.8245966402</v>
      </c>
      <c r="F86" s="30"/>
      <c r="G86" s="30"/>
      <c r="I86" s="594"/>
      <c r="J86" s="227" t="s">
        <v>252</v>
      </c>
      <c r="K86" s="562" t="s">
        <v>281</v>
      </c>
      <c r="L86" s="562"/>
      <c r="M86" s="562">
        <f>IF((2*S27)-Q27&lt;0,((2*S27)-Q27)+360,MOD((2*S27)-Q27,360))</f>
        <v>105.08030000000025</v>
      </c>
      <c r="N86" s="562"/>
      <c r="O86" s="227">
        <f t="shared" ref="O86:O88" si="15">INT(M86)</f>
        <v>105</v>
      </c>
      <c r="P86" s="227">
        <f t="shared" ref="P86:P88" si="16">O86+1</f>
        <v>106</v>
      </c>
      <c r="Q86" s="227">
        <f>VLOOKUP(O86,TDL,28)</f>
        <v>957.40039999999999</v>
      </c>
      <c r="R86" s="227">
        <f>VLOOKUP(P86,TDL,28)</f>
        <v>1019.6132</v>
      </c>
      <c r="S86" s="227">
        <f t="shared" ref="S86:S88" si="17">M86-INT(M86)</f>
        <v>8.0300000000249838E-2</v>
      </c>
      <c r="T86" s="488">
        <f t="shared" ref="T86:T88" si="18">Q86-(Q86-R86)*S86</f>
        <v>962.39608784001553</v>
      </c>
      <c r="U86" s="489"/>
    </row>
    <row r="87" spans="2:21">
      <c r="B87" s="30"/>
      <c r="C87" s="30"/>
      <c r="D87" s="229">
        <f>D26</f>
        <v>2461089.50227552</v>
      </c>
      <c r="F87" s="30"/>
      <c r="G87" s="30"/>
      <c r="I87" s="594"/>
      <c r="J87" s="227" t="s">
        <v>253</v>
      </c>
      <c r="K87" s="562" t="s">
        <v>282</v>
      </c>
      <c r="L87" s="562"/>
      <c r="M87" s="562">
        <f>MOD(2*S27,360)</f>
        <v>11.894800000000194</v>
      </c>
      <c r="N87" s="562"/>
      <c r="O87" s="227">
        <f t="shared" si="15"/>
        <v>11</v>
      </c>
      <c r="P87" s="227">
        <f t="shared" si="16"/>
        <v>12</v>
      </c>
      <c r="Q87" s="227">
        <f>VLOOKUP(O87,TDL,29)</f>
        <v>-2901.6585</v>
      </c>
      <c r="R87" s="227">
        <f>VLOOKUP(P87,TDL,29)</f>
        <v>-2891.373</v>
      </c>
      <c r="S87" s="227">
        <f t="shared" si="17"/>
        <v>0.89480000000019366</v>
      </c>
      <c r="T87" s="488">
        <f t="shared" si="18"/>
        <v>-2892.4550345999983</v>
      </c>
      <c r="U87" s="489"/>
    </row>
    <row r="88" spans="2:21">
      <c r="B88" s="30"/>
      <c r="C88" s="30"/>
      <c r="D88" s="30"/>
      <c r="F88" s="30"/>
      <c r="G88" s="30"/>
      <c r="I88" s="594"/>
      <c r="J88" s="227" t="s">
        <v>254</v>
      </c>
      <c r="K88" s="562" t="s">
        <v>283</v>
      </c>
      <c r="L88" s="562"/>
      <c r="M88" s="562">
        <f>MOD(2*Q27,360)</f>
        <v>173.62899999999991</v>
      </c>
      <c r="N88" s="562"/>
      <c r="O88" s="227">
        <f t="shared" si="15"/>
        <v>173</v>
      </c>
      <c r="P88" s="227">
        <f t="shared" si="16"/>
        <v>174</v>
      </c>
      <c r="Q88" s="227">
        <f>VLOOKUP(O88,TDL,30)</f>
        <v>565.67690000000005</v>
      </c>
      <c r="R88" s="227">
        <f>VLOOKUP(P88,TDL,30)</f>
        <v>566.80290000000002</v>
      </c>
      <c r="S88" s="227">
        <f t="shared" si="17"/>
        <v>0.62899999999990541</v>
      </c>
      <c r="T88" s="488">
        <f t="shared" si="18"/>
        <v>566.38515399999994</v>
      </c>
      <c r="U88" s="489"/>
    </row>
    <row r="89" spans="2:21" ht="15.6">
      <c r="B89" s="30"/>
      <c r="C89" s="30"/>
      <c r="D89" s="30"/>
      <c r="F89" s="30"/>
      <c r="G89" s="30"/>
      <c r="I89" s="595"/>
      <c r="J89" s="653" t="s">
        <v>293</v>
      </c>
      <c r="K89" s="653"/>
      <c r="L89" s="653"/>
      <c r="M89" s="653"/>
      <c r="N89" s="653"/>
      <c r="O89" s="653"/>
      <c r="P89" s="653"/>
      <c r="Q89" s="653"/>
      <c r="R89" s="653"/>
      <c r="S89" s="653"/>
      <c r="T89" s="703">
        <f>385000.56+SUM(T85:U88)</f>
        <v>384798.54368679004</v>
      </c>
      <c r="U89" s="704"/>
    </row>
    <row r="90" spans="2:21">
      <c r="B90" s="30"/>
      <c r="C90" s="30"/>
      <c r="D90" s="30"/>
      <c r="F90" s="30"/>
      <c r="G90" s="30"/>
      <c r="I90" s="181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221"/>
    </row>
    <row r="91" spans="2:21" ht="15.6">
      <c r="B91" s="30"/>
      <c r="C91" s="30"/>
      <c r="D91" s="30"/>
      <c r="F91" s="30"/>
      <c r="G91" s="30"/>
      <c r="I91" s="230">
        <v>6</v>
      </c>
      <c r="J91" s="673" t="s">
        <v>266</v>
      </c>
      <c r="K91" s="673"/>
      <c r="L91" s="673"/>
      <c r="M91" s="673"/>
      <c r="N91" s="673"/>
      <c r="O91" s="673"/>
      <c r="P91" s="673"/>
      <c r="Q91" s="673"/>
      <c r="R91" s="698" t="str">
        <f>IF(T91&lt;0,"- ", )&amp;TEXT(ABS(T91/24),"[hh]° mm' ss.00")&amp;""""</f>
        <v>00° 56' 59.05"</v>
      </c>
      <c r="S91" s="699"/>
      <c r="T91" s="571">
        <f>ASIN(6378.14/T89)/PI</f>
        <v>0.94973654319816758</v>
      </c>
      <c r="U91" s="572"/>
    </row>
    <row r="92" spans="2:21" ht="15.6">
      <c r="B92" s="30"/>
      <c r="C92" s="30"/>
      <c r="D92" s="30"/>
      <c r="F92" s="30"/>
      <c r="G92" s="30"/>
      <c r="I92" s="231">
        <v>7</v>
      </c>
      <c r="J92" s="487" t="s">
        <v>267</v>
      </c>
      <c r="K92" s="487"/>
      <c r="L92" s="487"/>
      <c r="M92" s="487"/>
      <c r="N92" s="487"/>
      <c r="O92" s="487"/>
      <c r="P92" s="487"/>
      <c r="Q92" s="487"/>
      <c r="R92" s="496" t="str">
        <f>IF(T92&lt;0,"- ", )&amp;TEXT(ABS(T92/24),"[hh]° mm' ss.00")&amp;""""</f>
        <v>00° 15' 31.61"</v>
      </c>
      <c r="S92" s="496"/>
      <c r="T92" s="496">
        <f>0.272476*Hp</f>
        <v>0.25878041434446392</v>
      </c>
      <c r="U92" s="497"/>
    </row>
    <row r="93" spans="2:21" ht="15.6">
      <c r="B93" s="30"/>
      <c r="C93" s="30"/>
      <c r="D93" s="30"/>
      <c r="F93" s="30"/>
      <c r="G93" s="30"/>
      <c r="I93" s="231">
        <v>8</v>
      </c>
      <c r="J93" s="487" t="s">
        <v>268</v>
      </c>
      <c r="K93" s="487"/>
      <c r="L93" s="487"/>
      <c r="M93" s="487"/>
      <c r="N93" s="487"/>
      <c r="O93" s="487"/>
      <c r="P93" s="487"/>
      <c r="Q93" s="487"/>
      <c r="R93" s="496" t="str">
        <f t="shared" ref="R93:R99" si="19">IF(T93&lt;0,"- ", )&amp;TEXT(ABS(T93/24),"[hh]° mm' ss.00")&amp;""""</f>
        <v>92° 37' 00.60"</v>
      </c>
      <c r="S93" s="496"/>
      <c r="T93" s="496">
        <f>IF((ST-ac+BT)&lt;0,(ST-ac+BT)+360,(ST-ac+BT))</f>
        <v>92.616832126463237</v>
      </c>
      <c r="U93" s="497"/>
    </row>
    <row r="94" spans="2:21" ht="15.6">
      <c r="B94" s="30"/>
      <c r="C94" s="30"/>
      <c r="D94" s="30"/>
      <c r="F94" s="30"/>
      <c r="G94" s="30"/>
      <c r="I94" s="231">
        <v>9</v>
      </c>
      <c r="J94" s="487" t="s">
        <v>292</v>
      </c>
      <c r="K94" s="487"/>
      <c r="L94" s="487"/>
      <c r="M94" s="487"/>
      <c r="N94" s="487"/>
      <c r="O94" s="487"/>
      <c r="P94" s="487"/>
      <c r="Q94" s="487"/>
      <c r="R94" s="496" t="str">
        <f t="shared" si="19"/>
        <v>- 00° 50' 08.39"</v>
      </c>
      <c r="S94" s="496"/>
      <c r="T94" s="496">
        <f>ASIN(SIN(LT*PI)*SIN(dc*PI)+COS(LT*PI)*COS(dc*PI)*COS(GC*PI))/PI</f>
        <v>-0.8356651170861441</v>
      </c>
      <c r="U94" s="497"/>
    </row>
    <row r="95" spans="2:21" ht="15.6">
      <c r="B95" s="30"/>
      <c r="C95" s="30"/>
      <c r="D95" s="30"/>
      <c r="F95" s="30"/>
      <c r="G95" s="30"/>
      <c r="I95" s="584">
        <v>10</v>
      </c>
      <c r="J95" s="487" t="s">
        <v>269</v>
      </c>
      <c r="K95" s="487"/>
      <c r="L95" s="487"/>
      <c r="M95" s="487"/>
      <c r="N95" s="487"/>
      <c r="O95" s="487"/>
      <c r="P95" s="487"/>
      <c r="Q95" s="487"/>
      <c r="R95" s="496" t="str">
        <f t="shared" si="19"/>
        <v>- 13° 15' 26.43"</v>
      </c>
      <c r="S95" s="496"/>
      <c r="T95" s="496">
        <f>ATAN(-SIN(LT*PI)/TAN(GC*PI)+COS(LT*PI)*TAN(dc*PI)/SIN(GC*PI))/PI</f>
        <v>-13.25734048116831</v>
      </c>
      <c r="U95" s="497"/>
    </row>
    <row r="96" spans="2:21" ht="15.6">
      <c r="B96" s="30"/>
      <c r="C96" s="30"/>
      <c r="D96" s="30"/>
      <c r="F96" s="30"/>
      <c r="G96" s="30"/>
      <c r="I96" s="585"/>
      <c r="J96" s="487" t="s">
        <v>269</v>
      </c>
      <c r="K96" s="487"/>
      <c r="L96" s="487"/>
      <c r="M96" s="487"/>
      <c r="N96" s="487"/>
      <c r="O96" s="487"/>
      <c r="P96" s="487"/>
      <c r="Q96" s="487"/>
      <c r="R96" s="586" t="str">
        <f t="shared" si="19"/>
        <v>256° 44' 33.57"</v>
      </c>
      <c r="S96" s="586"/>
      <c r="T96" s="569">
        <f>270+Azc</f>
        <v>256.74265951883172</v>
      </c>
      <c r="U96" s="623"/>
    </row>
    <row r="97" spans="2:22" ht="15.6">
      <c r="B97" s="30"/>
      <c r="C97" s="30"/>
      <c r="D97" s="30"/>
      <c r="F97" s="30"/>
      <c r="G97" s="30"/>
      <c r="I97" s="231">
        <v>11</v>
      </c>
      <c r="J97" s="487" t="s">
        <v>270</v>
      </c>
      <c r="K97" s="487"/>
      <c r="L97" s="487"/>
      <c r="M97" s="487"/>
      <c r="N97" s="487"/>
      <c r="O97" s="487"/>
      <c r="P97" s="487"/>
      <c r="Q97" s="487"/>
      <c r="R97" s="496" t="str">
        <f t="shared" si="19"/>
        <v>- 01° 08' 07.75"</v>
      </c>
      <c r="S97" s="496"/>
      <c r="T97" s="586">
        <f>Azc-Azm</f>
        <v>-1.1354863872453667</v>
      </c>
      <c r="U97" s="587"/>
      <c r="V97" s="232" t="s">
        <v>360</v>
      </c>
    </row>
    <row r="98" spans="2:22" ht="15.6">
      <c r="B98" s="30"/>
      <c r="C98" s="30"/>
      <c r="D98" s="30"/>
      <c r="F98" s="30"/>
      <c r="G98" s="30"/>
      <c r="I98" s="231">
        <v>12</v>
      </c>
      <c r="J98" s="487" t="s">
        <v>295</v>
      </c>
      <c r="K98" s="487"/>
      <c r="L98" s="487"/>
      <c r="M98" s="487"/>
      <c r="N98" s="487"/>
      <c r="O98" s="487"/>
      <c r="P98" s="487"/>
      <c r="Q98" s="487"/>
      <c r="R98" s="496" t="str">
        <f t="shared" si="19"/>
        <v>00° 47' 14.17"</v>
      </c>
      <c r="S98" s="496"/>
      <c r="T98" s="496">
        <f>0.0167/TAN((hc+7.31/(hc+4.4))*PI)</f>
        <v>0.78726911623578211</v>
      </c>
      <c r="U98" s="497"/>
      <c r="V98" s="232" t="s">
        <v>361</v>
      </c>
    </row>
    <row r="99" spans="2:22" ht="15.6">
      <c r="B99" s="30"/>
      <c r="C99" s="30"/>
      <c r="D99" s="30"/>
      <c r="F99" s="30"/>
      <c r="G99" s="30"/>
      <c r="I99" s="231">
        <v>13</v>
      </c>
      <c r="J99" s="487" t="s">
        <v>271</v>
      </c>
      <c r="K99" s="487"/>
      <c r="L99" s="487"/>
      <c r="M99" s="487"/>
      <c r="N99" s="487"/>
      <c r="O99" s="487"/>
      <c r="P99" s="487"/>
      <c r="Q99" s="487"/>
      <c r="R99" s="496" t="str">
        <f t="shared" si="19"/>
        <v>00° 56' 58.69"</v>
      </c>
      <c r="S99" s="496"/>
      <c r="T99" s="496">
        <f>Hp*COS(hc*PI)</f>
        <v>0.94963552846119847</v>
      </c>
      <c r="U99" s="497"/>
    </row>
    <row r="100" spans="2:22" ht="15.6">
      <c r="B100" s="30"/>
      <c r="C100" s="30"/>
      <c r="D100" s="30"/>
      <c r="F100" s="30"/>
      <c r="G100" s="30"/>
      <c r="I100" s="231">
        <v>14</v>
      </c>
      <c r="J100" s="487" t="s">
        <v>272</v>
      </c>
      <c r="K100" s="487"/>
      <c r="L100" s="487"/>
      <c r="M100" s="487"/>
      <c r="N100" s="487"/>
      <c r="O100" s="487"/>
      <c r="P100" s="487"/>
      <c r="Q100" s="487"/>
      <c r="R100" s="496" t="str">
        <f>IF(T100&lt;0,"- ", )&amp;TEXT(ABS(T100/24),"[hh]° mm' ss.00")&amp;""""</f>
        <v>- 01° 47' 07.08"</v>
      </c>
      <c r="S100" s="496"/>
      <c r="T100" s="586">
        <f>hc-P</f>
        <v>-1.7853006455473426</v>
      </c>
      <c r="U100" s="587"/>
    </row>
    <row r="101" spans="2:22" ht="15.6">
      <c r="B101" s="30"/>
      <c r="C101" s="30"/>
      <c r="D101" s="30"/>
      <c r="F101" s="30"/>
      <c r="G101" s="30"/>
      <c r="I101" s="231">
        <v>15</v>
      </c>
      <c r="J101" s="487" t="s">
        <v>273</v>
      </c>
      <c r="K101" s="487"/>
      <c r="L101" s="487"/>
      <c r="M101" s="487"/>
      <c r="N101" s="487"/>
      <c r="O101" s="487"/>
      <c r="P101" s="487"/>
      <c r="Q101" s="487"/>
      <c r="R101" s="614"/>
      <c r="S101" s="614"/>
      <c r="T101" s="496"/>
      <c r="U101" s="497"/>
    </row>
    <row r="102" spans="2:22" ht="15.6">
      <c r="B102" s="30"/>
      <c r="C102" s="30"/>
      <c r="D102" s="30"/>
      <c r="F102" s="30"/>
      <c r="G102" s="30"/>
      <c r="I102" s="688"/>
      <c r="J102" s="552" t="s">
        <v>274</v>
      </c>
      <c r="K102" s="552"/>
      <c r="L102" s="615" t="s">
        <v>275</v>
      </c>
      <c r="M102" s="615"/>
      <c r="N102" s="615"/>
      <c r="O102" s="233" t="s">
        <v>298</v>
      </c>
      <c r="P102" s="233" t="s">
        <v>299</v>
      </c>
      <c r="Q102" s="233" t="s">
        <v>157</v>
      </c>
      <c r="R102" s="614"/>
      <c r="S102" s="614"/>
      <c r="T102" s="496"/>
      <c r="U102" s="497"/>
    </row>
    <row r="103" spans="2:22" ht="15.6">
      <c r="B103" s="30"/>
      <c r="C103" s="30"/>
      <c r="D103" s="30"/>
      <c r="F103" s="30"/>
      <c r="G103" s="30"/>
      <c r="I103" s="689"/>
      <c r="J103" s="552">
        <f>ACOS(COS((T69-T35)*PI)*COS(T77*PI))/PI</f>
        <v>1.1388367755436375</v>
      </c>
      <c r="K103" s="552"/>
      <c r="L103" s="552">
        <f>180-J103-0.1468*((1-0.0549*SIN(Q27*N4)/(1-0.0167*SIN(O27*N4)))*SIN(J103*N4))</f>
        <v>178.86116322445636</v>
      </c>
      <c r="M103" s="552"/>
      <c r="N103" s="552"/>
      <c r="O103" s="233">
        <f>INT(L103)</f>
        <v>178</v>
      </c>
      <c r="P103" s="233">
        <f>O103+1</f>
        <v>179</v>
      </c>
      <c r="Q103" s="694">
        <f>L103-INT(L103)</f>
        <v>0.86116322445636229</v>
      </c>
      <c r="R103" s="614"/>
      <c r="S103" s="614"/>
      <c r="T103" s="496"/>
      <c r="U103" s="497"/>
    </row>
    <row r="104" spans="2:22" ht="15.6">
      <c r="B104" s="30"/>
      <c r="C104" s="30"/>
      <c r="D104" s="30"/>
      <c r="F104" s="30"/>
      <c r="G104" s="30"/>
      <c r="I104" s="689"/>
      <c r="J104" s="569" t="str">
        <f>IF(J103&lt;0,"- ", )&amp;TEXT(ABS(J103/24),"[hh]° mm' ss.00")&amp;""""</f>
        <v>01° 08' 19.81"</v>
      </c>
      <c r="K104" s="570"/>
      <c r="L104" s="700" t="str">
        <f>IF(L103&lt;0,"- ", )&amp;TEXT(ABS(L103/24),"[hh]° mm' ss.00")</f>
        <v>178° 51' 40.19</v>
      </c>
      <c r="M104" s="701"/>
      <c r="N104" s="702"/>
      <c r="O104" s="234">
        <f>VLOOKUP(O103,TDL,31)</f>
        <v>2.9999999999999997E-4</v>
      </c>
      <c r="P104" s="234">
        <f>VLOOKUP(P103,TDL,31)</f>
        <v>1E-4</v>
      </c>
      <c r="Q104" s="695"/>
      <c r="R104" s="681"/>
      <c r="S104" s="682"/>
      <c r="T104" s="569"/>
      <c r="U104" s="623"/>
    </row>
    <row r="105" spans="2:22" ht="15.6">
      <c r="B105" s="30"/>
      <c r="C105" s="30" t="s">
        <v>362</v>
      </c>
      <c r="D105" s="30"/>
      <c r="F105" s="30"/>
      <c r="G105" s="30"/>
      <c r="I105" s="690"/>
      <c r="J105" s="539" t="s">
        <v>276</v>
      </c>
      <c r="K105" s="539"/>
      <c r="L105" s="539"/>
      <c r="M105" s="539"/>
      <c r="N105" s="539"/>
      <c r="O105" s="539"/>
      <c r="P105" s="539"/>
      <c r="Q105" s="539"/>
      <c r="R105" s="235">
        <f>T105</f>
        <v>1.2776735510872754E-4</v>
      </c>
      <c r="S105" s="236">
        <f>T105*100</f>
        <v>1.2776735510872753E-2</v>
      </c>
      <c r="T105" s="569">
        <f>O104-(O104-P104)*Q103</f>
        <v>1.2776735510872754E-4</v>
      </c>
      <c r="U105" s="623"/>
    </row>
    <row r="106" spans="2:22" ht="15.6">
      <c r="B106" s="30"/>
      <c r="C106" s="30"/>
      <c r="D106" s="30"/>
      <c r="F106" s="30"/>
      <c r="G106" s="30"/>
      <c r="I106" s="237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9"/>
      <c r="U106" s="240"/>
    </row>
    <row r="107" spans="2:22" ht="15.6">
      <c r="B107" s="30"/>
      <c r="C107" s="30"/>
      <c r="D107" s="30"/>
      <c r="F107" s="30"/>
      <c r="G107" s="30"/>
      <c r="I107" s="231">
        <v>16</v>
      </c>
      <c r="J107" s="761" t="s">
        <v>280</v>
      </c>
      <c r="K107" s="761"/>
      <c r="L107" s="761"/>
      <c r="M107" s="761"/>
      <c r="N107" s="761"/>
      <c r="O107" s="761"/>
      <c r="P107" s="761"/>
      <c r="Q107" s="761"/>
      <c r="R107" s="762" t="str">
        <f>IF(T107&lt;0,"MASIH DI BAWAH UFUQ",T107/24)</f>
        <v>MASIH DI BAWAH UFUQ</v>
      </c>
      <c r="S107" s="763"/>
      <c r="T107" s="596">
        <f>T94*(4/60)</f>
        <v>-5.5711007805742938E-2</v>
      </c>
      <c r="U107" s="597"/>
    </row>
    <row r="108" spans="2:22" ht="15.6">
      <c r="B108" s="30"/>
      <c r="C108" s="30"/>
      <c r="D108" s="30"/>
      <c r="F108" s="30"/>
      <c r="G108" s="30"/>
      <c r="I108" s="231">
        <v>17</v>
      </c>
      <c r="J108" s="487" t="s">
        <v>277</v>
      </c>
      <c r="K108" s="487"/>
      <c r="L108" s="487"/>
      <c r="M108" s="487"/>
      <c r="N108" s="487"/>
      <c r="O108" s="487"/>
      <c r="P108" s="487"/>
      <c r="Q108" s="487"/>
      <c r="R108" s="650" t="str">
        <f>IF(T108&lt;0,"- ", )&amp;TEXT(ABS(T108/24),"[hh]° mm' ss.00")&amp;""""</f>
        <v>00° 06' 06.69"</v>
      </c>
      <c r="S108" s="651"/>
      <c r="T108" s="496">
        <f>hc-hm</f>
        <v>0.10185750093773782</v>
      </c>
      <c r="U108" s="497"/>
    </row>
    <row r="109" spans="2:22" ht="15.6">
      <c r="B109" s="30"/>
      <c r="C109" s="30"/>
      <c r="D109" s="30"/>
      <c r="F109" s="30"/>
      <c r="G109" s="30"/>
      <c r="I109" s="231">
        <v>18</v>
      </c>
      <c r="J109" s="487" t="s">
        <v>278</v>
      </c>
      <c r="K109" s="487"/>
      <c r="L109" s="487"/>
      <c r="M109" s="487"/>
      <c r="N109" s="487"/>
      <c r="O109" s="487"/>
      <c r="P109" s="487"/>
      <c r="Q109" s="487"/>
      <c r="R109" s="650" t="str">
        <f>IF(T109&lt;0,"- ", )&amp;TEXT(ABS(T109/24),"[hh]° mm' ss.00")&amp;""""</f>
        <v>01° 08' 24.16"</v>
      </c>
      <c r="S109" s="651"/>
      <c r="T109" s="496">
        <f>ACOS(COS(z*PI)*COS(Y*PI))/PI</f>
        <v>1.140045142886577</v>
      </c>
      <c r="U109" s="497"/>
    </row>
    <row r="110" spans="2:22" ht="15.6">
      <c r="B110" s="30"/>
      <c r="C110" s="30"/>
      <c r="D110" s="30"/>
      <c r="F110" s="30"/>
      <c r="G110" s="30"/>
      <c r="I110" s="241">
        <v>19</v>
      </c>
      <c r="J110" s="551" t="s">
        <v>279</v>
      </c>
      <c r="K110" s="551"/>
      <c r="L110" s="551"/>
      <c r="M110" s="551"/>
      <c r="N110" s="551"/>
      <c r="O110" s="551"/>
      <c r="P110" s="551"/>
      <c r="Q110" s="551"/>
      <c r="R110" s="621">
        <f>T110/24</f>
        <v>0.75541157790937496</v>
      </c>
      <c r="S110" s="621"/>
      <c r="T110" s="619">
        <f>T54+mh</f>
        <v>18.129877869824998</v>
      </c>
      <c r="U110" s="620"/>
      <c r="V110">
        <f>mh+T54</f>
        <v>18.129877869824998</v>
      </c>
    </row>
    <row r="111" spans="2:22" ht="15.6">
      <c r="B111" s="30"/>
      <c r="C111" s="30"/>
      <c r="D111" s="30"/>
      <c r="F111" s="30"/>
      <c r="G111" s="30"/>
      <c r="I111" s="242">
        <v>20</v>
      </c>
      <c r="J111" s="669" t="s">
        <v>335</v>
      </c>
      <c r="K111" s="670"/>
      <c r="L111" s="670"/>
      <c r="M111" s="670"/>
      <c r="N111" s="670"/>
      <c r="O111" s="670"/>
      <c r="P111" s="670"/>
      <c r="Q111" s="446">
        <f>24*J22</f>
        <v>0</v>
      </c>
      <c r="R111" s="654" t="str">
        <f>IF(T111&lt;0,"- ", )&amp;TEXT(ABS(T111/24),"[hh]:mm:ss")</f>
        <v>- 00:50:53</v>
      </c>
      <c r="S111" s="575"/>
      <c r="T111" s="575">
        <f>T54-MOD(D42,24)+Q111</f>
        <v>-0.84814741189040888</v>
      </c>
      <c r="U111" s="576"/>
    </row>
    <row r="112" spans="2:22">
      <c r="B112" s="30"/>
      <c r="C112" s="30"/>
      <c r="D112" s="30"/>
      <c r="F112" s="30"/>
      <c r="G112" s="30"/>
    </row>
    <row r="113" spans="2:20">
      <c r="B113" s="30"/>
      <c r="C113" s="30"/>
      <c r="D113" s="30"/>
      <c r="F113" s="30"/>
      <c r="G113" s="30"/>
      <c r="N113" s="559" t="str">
        <f>C3&amp;"  "&amp;F2&amp;"  "&amp;"H."</f>
        <v>SYA'BAN  1447  H.</v>
      </c>
      <c r="O113" s="559"/>
      <c r="P113" s="559"/>
    </row>
    <row r="114" spans="2:20">
      <c r="B114" s="30"/>
      <c r="C114" s="30"/>
      <c r="D114" s="30"/>
      <c r="F114" s="30"/>
      <c r="G114" s="30"/>
      <c r="K114">
        <f>J10</f>
        <v>7</v>
      </c>
      <c r="N114" s="559" t="str">
        <f>E45&amp;"  "&amp;E48&amp;"   "&amp;E38&amp;"  "&amp;F27&amp;"  "&amp;F29&amp;" "&amp;"M."</f>
        <v>SELASA  KLIWON   17  FEBRUARI  2026 M.</v>
      </c>
      <c r="O114" s="559"/>
      <c r="P114" s="559"/>
      <c r="T114">
        <f>T100/15</f>
        <v>-0.11902004303648951</v>
      </c>
    </row>
    <row r="115" spans="2:20" ht="15.6">
      <c r="B115" s="30"/>
      <c r="C115" s="30"/>
      <c r="D115" s="30"/>
      <c r="F115" s="30"/>
      <c r="G115" s="30"/>
      <c r="J115">
        <f>D42</f>
        <v>19.033736289521151</v>
      </c>
      <c r="K115">
        <f>MOD(J115,24)</f>
        <v>19.033736289521151</v>
      </c>
      <c r="N115" s="528" t="str">
        <f>IF(K115&lt;0,"- ", )&amp;TEXT(ABS(K115/24),"[hh]:mm:ss")&amp;"   "&amp;G$41</f>
        <v>19:02:01   WIB</v>
      </c>
      <c r="O115" s="528"/>
      <c r="Q115" s="528"/>
      <c r="R115" s="528"/>
    </row>
    <row r="116" spans="2:20" ht="15.6">
      <c r="B116" s="30"/>
      <c r="C116" s="30"/>
      <c r="D116" s="30"/>
      <c r="F116" s="30"/>
      <c r="G116" s="30"/>
      <c r="N116" s="528" t="str">
        <f>IF(T54&lt;0,"- ", )&amp;TEXT(ABS(T54/24),"[hh]:mm:ss")&amp;"   "&amp;G$41</f>
        <v>18:11:08   WIB</v>
      </c>
      <c r="O116" s="528"/>
    </row>
    <row r="117" spans="2:20" ht="15.6">
      <c r="B117" s="30"/>
      <c r="C117" s="30"/>
      <c r="D117" s="30"/>
      <c r="F117" s="30"/>
      <c r="G117" s="30"/>
      <c r="N117" s="528" t="str">
        <f>IF(T110&lt;0,"- ", )&amp;TEXT(ABS(T110/24),"[hh]:mm:ss")&amp;"   "&amp;G$41</f>
        <v>18:07:48   WIB</v>
      </c>
      <c r="O117" s="528"/>
      <c r="T117" s="243">
        <v>7.6295578348853805</v>
      </c>
    </row>
    <row r="118" spans="2:20" ht="15.6">
      <c r="B118" s="30"/>
      <c r="C118" s="30"/>
      <c r="D118" s="30"/>
      <c r="N118" s="583" t="str">
        <f>IF(T94&lt;0,"- ", )&amp;TEXT(ABS(T94/24),"[hh]° mm' ss")&amp;""""</f>
        <v>- 00° 50' 08"</v>
      </c>
      <c r="O118" s="583"/>
      <c r="T118">
        <f>T117/15</f>
        <v>0.50863718899235866</v>
      </c>
    </row>
    <row r="119" spans="2:20" ht="15.6">
      <c r="B119" s="30"/>
      <c r="C119" s="30"/>
      <c r="D119" s="30"/>
      <c r="F119" s="30"/>
      <c r="G119" s="30"/>
      <c r="N119" s="583" t="str">
        <f>IF(T100&lt;0,"- ", )&amp;TEXT(ABS(T100/24),"[hh]° mm' ss")&amp;""""</f>
        <v>- 01° 47' 07"</v>
      </c>
      <c r="O119" s="583"/>
    </row>
    <row r="120" spans="2:20" ht="15.6">
      <c r="B120" s="30"/>
      <c r="C120" s="30"/>
      <c r="D120" s="30"/>
      <c r="F120" s="30"/>
      <c r="G120" s="30"/>
      <c r="N120" s="583" t="str">
        <f>IF(J103&lt;0,"- ", )&amp;TEXT(ABS(J103/24),"[hh]° mm' ss")&amp;""""</f>
        <v>01° 08' 20"</v>
      </c>
      <c r="O120" s="583"/>
      <c r="T120" s="243">
        <v>0.57607361675200619</v>
      </c>
    </row>
    <row r="121" spans="2:20">
      <c r="B121" s="30"/>
      <c r="C121" s="30"/>
      <c r="D121" s="30"/>
      <c r="F121" s="30"/>
      <c r="G121" s="30"/>
      <c r="K121" s="244">
        <f>INT(T111)</f>
        <v>-1</v>
      </c>
      <c r="L121" s="30">
        <f>TRUNC((T111-INT(T111))*60)</f>
        <v>9</v>
      </c>
      <c r="M121" s="245">
        <f>ROUND((((T111-INT(T111))*60)-TRUNC((T111-INT(T111))*60))*60,0)</f>
        <v>7</v>
      </c>
      <c r="N121" s="680" t="str">
        <f>IF(T111&lt;0," ",IF(K121&gt;0,K121&amp;"  "&amp;"Jam  "&amp;L121&amp;"  "&amp;"menit   "&amp;M121&amp;"  "&amp;"detik",L121&amp;"  "&amp;"menit  "&amp;M121&amp;"  "&amp;"detik"))</f>
        <v xml:space="preserve"> </v>
      </c>
      <c r="O121" s="680"/>
      <c r="P121" s="680"/>
      <c r="T121">
        <f>T120*15</f>
        <v>8.6411042512800922</v>
      </c>
    </row>
    <row r="122" spans="2:20">
      <c r="B122" s="30"/>
      <c r="C122" s="30"/>
      <c r="D122" s="30"/>
      <c r="F122" s="30"/>
      <c r="G122" s="30"/>
      <c r="K122" t="e">
        <f>HOUR(R107)</f>
        <v>#VALUE!</v>
      </c>
      <c r="L122" s="11" t="e">
        <f>MINUTE(R107)</f>
        <v>#VALUE!</v>
      </c>
      <c r="M122" s="11" t="e">
        <f>SECOND(R107)</f>
        <v>#VALUE!</v>
      </c>
      <c r="N122" s="680" t="str">
        <f>IF(T100&lt;0,"MASIH DI BAWAH UFUQ",IF(K122&gt;0,K122&amp;"  "&amp;"Jam  "&amp;L122&amp;"  "&amp;"menit   "&amp;M122&amp;"  "&amp;"detik",L122&amp;"  "&amp;"menit  "&amp;M122&amp;"  "&amp;"detik"))</f>
        <v>MASIH DI BAWAH UFUQ</v>
      </c>
      <c r="O122" s="680"/>
      <c r="P122" s="680"/>
    </row>
    <row r="123" spans="2:20" ht="15.6">
      <c r="B123" s="30"/>
      <c r="C123" s="30"/>
      <c r="D123" s="30"/>
      <c r="F123" s="30"/>
      <c r="G123" s="30"/>
      <c r="N123" s="583" t="str">
        <f>IF(V55&lt;0,"- ", )&amp;TEXT(ABS(V55/24),"[hh]° mm' ss")&amp;""""</f>
        <v>257° 52' 41"</v>
      </c>
      <c r="O123" s="583"/>
    </row>
    <row r="124" spans="2:20" ht="15.6">
      <c r="B124" s="30"/>
      <c r="C124" s="30"/>
      <c r="D124" s="30"/>
      <c r="F124" s="30"/>
      <c r="G124" s="30"/>
      <c r="N124" s="583" t="str">
        <f>IF(T96&lt;0,"- ", )&amp;TEXT(ABS(T96/24),"[hh]° mm' ss")&amp;""""</f>
        <v>256° 44' 34"</v>
      </c>
      <c r="O124" s="583"/>
    </row>
    <row r="125" spans="2:20">
      <c r="B125" s="30"/>
      <c r="C125" s="30"/>
      <c r="D125" s="30"/>
      <c r="F125" s="30"/>
      <c r="G125" s="30"/>
      <c r="N125" s="246">
        <f>R105</f>
        <v>1.2776735510872754E-4</v>
      </c>
    </row>
    <row r="126" spans="2:20" ht="15.6">
      <c r="B126" s="30"/>
      <c r="C126" s="30"/>
      <c r="D126" s="30"/>
      <c r="F126" s="30"/>
      <c r="G126" s="30"/>
      <c r="N126" s="583" t="str">
        <f>IF(T97&lt;0,"- ", )&amp;TEXT(ABS(T97/24),"[hh]° mm' ss")</f>
        <v>- 01° 08' 08</v>
      </c>
      <c r="O126" s="583"/>
    </row>
    <row r="127" spans="2:20">
      <c r="B127" s="30"/>
      <c r="C127" s="30"/>
      <c r="D127" s="30"/>
      <c r="F127" s="30"/>
      <c r="G127" s="30"/>
      <c r="N127" s="580" t="str">
        <f>IF(ABS(z)&lt;1,"terlentang",IF(z&gt;1,"miring ke utara","miring ke selatan"))</f>
        <v>miring ke selatan</v>
      </c>
      <c r="O127" s="580"/>
      <c r="P127" s="580"/>
    </row>
    <row r="128" spans="2:20">
      <c r="B128" s="30"/>
      <c r="C128" s="30"/>
      <c r="D128" s="30"/>
      <c r="F128" s="30"/>
      <c r="G128" s="30"/>
      <c r="N128" s="580" t="str">
        <f>IF(dc&lt;0,"di selatan katulistiwa","di utara katulistiwa")</f>
        <v>di selatan katulistiwa</v>
      </c>
      <c r="O128" s="580"/>
      <c r="P128" s="580"/>
    </row>
    <row r="129" spans="2:16">
      <c r="B129" s="30"/>
      <c r="C129" s="30"/>
      <c r="D129" s="30"/>
      <c r="F129" s="30"/>
      <c r="G129" s="30"/>
      <c r="N129" s="580" t="str">
        <f>IF(T97&lt;0,"di selatan matahari","di utara matahari")</f>
        <v>di selatan matahari</v>
      </c>
      <c r="O129" s="580"/>
      <c r="P129" s="580"/>
    </row>
    <row r="130" spans="2:16">
      <c r="B130" s="30"/>
      <c r="C130" s="30"/>
      <c r="D130" s="30"/>
      <c r="F130" s="30"/>
      <c r="G130" s="30"/>
      <c r="N130" s="580" t="str">
        <f>IF(Azm&lt;0,"di selatan titik barat","di utara titik barat")</f>
        <v>di selatan titik barat</v>
      </c>
      <c r="O130" s="580"/>
      <c r="P130" s="580"/>
    </row>
    <row r="131" spans="2:16">
      <c r="B131" s="30"/>
      <c r="C131" s="30"/>
      <c r="D131" s="30"/>
      <c r="F131" s="30"/>
      <c r="G131" s="30"/>
      <c r="N131" s="559" t="str">
        <f>G45&amp;"  "&amp;G48&amp;"  "&amp;G38&amp;"  "&amp;F36&amp;"  "&amp;F33&amp;" "&amp;"M."</f>
        <v>KAMIS  PAHING  19  FEBRUARI  2026 M.</v>
      </c>
      <c r="O131" s="559"/>
      <c r="P131" s="559"/>
    </row>
    <row r="132" spans="2:16">
      <c r="B132" s="30"/>
      <c r="C132" s="30"/>
      <c r="D132" s="30"/>
      <c r="F132" s="30"/>
      <c r="G132" s="30"/>
    </row>
    <row r="133" spans="2:16">
      <c r="B133" s="30"/>
      <c r="C133" s="30"/>
      <c r="D133" s="30"/>
    </row>
    <row r="134" spans="2:16">
      <c r="B134" s="30"/>
      <c r="C134" s="30"/>
      <c r="D134" s="30"/>
      <c r="F134" s="124"/>
      <c r="G134" s="247"/>
      <c r="H134" s="247"/>
    </row>
    <row r="135" spans="2:16">
      <c r="B135" s="30"/>
      <c r="C135" s="30"/>
      <c r="D135" s="30"/>
      <c r="F135" s="30"/>
      <c r="G135" s="247"/>
      <c r="H135" s="247"/>
    </row>
    <row r="136" spans="2:16">
      <c r="B136" s="30"/>
      <c r="C136" s="30"/>
      <c r="D136" s="30"/>
    </row>
    <row r="137" spans="2:16">
      <c r="B137" s="19"/>
      <c r="C137" s="19"/>
      <c r="D137" s="19"/>
    </row>
    <row r="138" spans="2:16">
      <c r="B138" s="19"/>
      <c r="C138" s="19"/>
      <c r="D138" s="19"/>
    </row>
    <row r="139" spans="2:16">
      <c r="B139" s="19"/>
      <c r="C139" s="19"/>
      <c r="D139" s="19"/>
    </row>
    <row r="140" spans="2:16">
      <c r="B140" s="19"/>
      <c r="C140" s="19"/>
      <c r="D140" s="19"/>
    </row>
    <row r="141" spans="2:16">
      <c r="B141" s="19"/>
      <c r="C141" s="19"/>
      <c r="D141" s="19"/>
    </row>
    <row r="142" spans="2:16">
      <c r="B142" s="19"/>
      <c r="C142" s="19"/>
      <c r="D142" s="19"/>
    </row>
    <row r="143" spans="2:16">
      <c r="B143" s="19"/>
      <c r="C143" s="19"/>
      <c r="D143" s="19"/>
    </row>
    <row r="144" spans="2:16">
      <c r="B144" s="19"/>
      <c r="C144" s="19"/>
      <c r="D144" s="19"/>
    </row>
    <row r="145" spans="2:4">
      <c r="B145" s="19"/>
      <c r="C145" s="19"/>
      <c r="D145" s="19"/>
    </row>
    <row r="146" spans="2:4">
      <c r="B146" s="19"/>
      <c r="C146" s="19"/>
      <c r="D146" s="19"/>
    </row>
    <row r="147" spans="2:4">
      <c r="B147" s="19"/>
      <c r="C147" s="19"/>
      <c r="D147" s="19"/>
    </row>
    <row r="148" spans="2:4">
      <c r="B148" s="19"/>
      <c r="C148" s="19"/>
      <c r="D148" s="19"/>
    </row>
    <row r="149" spans="2:4">
      <c r="B149" s="19"/>
      <c r="C149" s="19"/>
      <c r="D149" s="19"/>
    </row>
    <row r="150" spans="2:4">
      <c r="B150" s="19"/>
      <c r="C150" s="19"/>
      <c r="D150" s="19"/>
    </row>
    <row r="151" spans="2:4">
      <c r="B151" s="19"/>
      <c r="C151" s="19"/>
      <c r="D151" s="19"/>
    </row>
    <row r="152" spans="2:4">
      <c r="B152" s="19"/>
      <c r="C152" s="19"/>
      <c r="D152" s="19"/>
    </row>
    <row r="153" spans="2:4">
      <c r="B153" s="19"/>
      <c r="C153" s="19"/>
      <c r="D153" s="19"/>
    </row>
    <row r="154" spans="2:4">
      <c r="B154" s="19"/>
      <c r="C154" s="19"/>
      <c r="D154" s="19"/>
    </row>
    <row r="155" spans="2:4">
      <c r="B155" s="19"/>
      <c r="C155" s="19"/>
      <c r="D155" s="19"/>
    </row>
    <row r="156" spans="2:4">
      <c r="B156" s="19"/>
      <c r="C156" s="19"/>
      <c r="D156" s="19"/>
    </row>
    <row r="157" spans="2:4">
      <c r="B157" s="19"/>
      <c r="C157" s="19"/>
      <c r="D157" s="19"/>
    </row>
    <row r="158" spans="2:4">
      <c r="B158" s="19"/>
      <c r="C158" s="19"/>
      <c r="D158" s="19"/>
    </row>
    <row r="159" spans="2:4">
      <c r="B159" s="19"/>
      <c r="C159" s="19"/>
      <c r="D159" s="19"/>
    </row>
    <row r="160" spans="2:4">
      <c r="B160" s="19"/>
      <c r="C160" s="19"/>
      <c r="D160" s="19"/>
    </row>
    <row r="161" spans="2:4">
      <c r="B161" s="19"/>
      <c r="C161" s="19"/>
      <c r="D161" s="19"/>
    </row>
    <row r="162" spans="2:4">
      <c r="B162" s="19"/>
      <c r="C162" s="19"/>
      <c r="D162" s="19"/>
    </row>
    <row r="163" spans="2:4">
      <c r="B163" s="19"/>
      <c r="C163" s="19"/>
      <c r="D163" s="19"/>
    </row>
    <row r="164" spans="2:4">
      <c r="B164" s="19"/>
      <c r="C164" s="19"/>
      <c r="D164" s="19"/>
    </row>
    <row r="165" spans="2:4">
      <c r="B165" s="19"/>
      <c r="C165" s="19"/>
      <c r="D165" s="19"/>
    </row>
    <row r="166" spans="2:4">
      <c r="B166" s="19"/>
      <c r="C166" s="19"/>
      <c r="D166" s="19"/>
    </row>
    <row r="167" spans="2:4">
      <c r="B167" s="19"/>
      <c r="C167" s="19"/>
      <c r="D167" s="19"/>
    </row>
    <row r="168" spans="2:4">
      <c r="B168" s="19"/>
      <c r="C168" s="19"/>
      <c r="D168" s="19"/>
    </row>
    <row r="169" spans="2:4">
      <c r="B169" s="19"/>
      <c r="C169" s="19"/>
      <c r="D169" s="19"/>
    </row>
    <row r="170" spans="2:4">
      <c r="B170" s="19"/>
      <c r="C170" s="19"/>
      <c r="D170" s="19"/>
    </row>
    <row r="171" spans="2:4">
      <c r="B171" s="19"/>
      <c r="C171" s="19"/>
      <c r="D171" s="19"/>
    </row>
    <row r="172" spans="2:4">
      <c r="B172" s="19"/>
      <c r="C172" s="19"/>
      <c r="D172" s="19"/>
    </row>
    <row r="173" spans="2:4">
      <c r="B173" s="19"/>
      <c r="C173" s="19"/>
      <c r="D173" s="19"/>
    </row>
    <row r="174" spans="2:4">
      <c r="B174" s="19"/>
      <c r="C174" s="19"/>
      <c r="D174" s="19"/>
    </row>
    <row r="175" spans="2:4">
      <c r="B175" s="19"/>
      <c r="C175" s="19"/>
      <c r="D175" s="19"/>
    </row>
    <row r="176" spans="2:4">
      <c r="B176" s="19"/>
      <c r="C176" s="19"/>
      <c r="D176" s="19"/>
    </row>
    <row r="177" spans="2:4">
      <c r="B177" s="19"/>
      <c r="C177" s="19"/>
      <c r="D177" s="19"/>
    </row>
    <row r="178" spans="2:4">
      <c r="B178" s="19"/>
      <c r="C178" s="19"/>
      <c r="D178" s="19"/>
    </row>
    <row r="179" spans="2:4">
      <c r="B179" s="19"/>
      <c r="C179" s="19"/>
      <c r="D179" s="19"/>
    </row>
    <row r="180" spans="2:4">
      <c r="B180" s="19"/>
      <c r="C180" s="19"/>
      <c r="D180" s="19"/>
    </row>
    <row r="181" spans="2:4">
      <c r="B181" s="19"/>
      <c r="C181" s="19"/>
      <c r="D181" s="19"/>
    </row>
    <row r="182" spans="2:4">
      <c r="B182" s="19"/>
      <c r="C182" s="19"/>
      <c r="D182" s="19"/>
    </row>
    <row r="183" spans="2:4">
      <c r="B183" s="19"/>
      <c r="C183" s="19"/>
      <c r="D183" s="19"/>
    </row>
    <row r="184" spans="2:4">
      <c r="B184" s="19"/>
      <c r="C184" s="19"/>
      <c r="D184" s="19"/>
    </row>
    <row r="185" spans="2:4">
      <c r="B185" s="19"/>
      <c r="C185" s="19"/>
      <c r="D185" s="19"/>
    </row>
    <row r="186" spans="2:4">
      <c r="B186" s="19"/>
      <c r="C186" s="19"/>
      <c r="D186" s="19"/>
    </row>
    <row r="187" spans="2:4">
      <c r="B187" s="19"/>
      <c r="C187" s="19"/>
      <c r="D187" s="19"/>
    </row>
    <row r="188" spans="2:4">
      <c r="B188" s="19"/>
      <c r="C188" s="19"/>
      <c r="D188" s="19"/>
    </row>
    <row r="189" spans="2:4">
      <c r="B189" s="19"/>
      <c r="C189" s="19"/>
      <c r="D189" s="19"/>
    </row>
    <row r="190" spans="2:4">
      <c r="B190" s="19"/>
      <c r="C190" s="19"/>
      <c r="D190" s="19"/>
    </row>
    <row r="191" spans="2:4">
      <c r="B191" s="19"/>
      <c r="C191" s="19"/>
      <c r="D191" s="19"/>
    </row>
    <row r="192" spans="2:4">
      <c r="B192" s="19"/>
      <c r="C192" s="19"/>
      <c r="D192" s="19"/>
    </row>
    <row r="193" spans="2:4">
      <c r="B193" s="19"/>
      <c r="C193" s="19"/>
      <c r="D193" s="19"/>
    </row>
    <row r="194" spans="2:4">
      <c r="B194" s="19"/>
      <c r="C194" s="19"/>
      <c r="D194" s="19"/>
    </row>
    <row r="195" spans="2:4">
      <c r="B195" s="19"/>
      <c r="C195" s="19"/>
      <c r="D195" s="19"/>
    </row>
    <row r="196" spans="2:4">
      <c r="B196" s="19"/>
      <c r="C196" s="19"/>
      <c r="D196" s="19"/>
    </row>
    <row r="197" spans="2:4">
      <c r="B197" s="19"/>
      <c r="C197" s="19"/>
      <c r="D197" s="19"/>
    </row>
    <row r="198" spans="2:4">
      <c r="B198" s="19"/>
      <c r="C198" s="19"/>
      <c r="D198" s="19"/>
    </row>
    <row r="199" spans="2:4">
      <c r="B199" s="19"/>
      <c r="C199" s="19"/>
      <c r="D199" s="19"/>
    </row>
    <row r="200" spans="2:4">
      <c r="B200" s="19"/>
      <c r="C200" s="19"/>
      <c r="D200" s="19"/>
    </row>
    <row r="201" spans="2:4">
      <c r="B201" s="19"/>
      <c r="C201" s="19"/>
      <c r="D201" s="19"/>
    </row>
  </sheetData>
  <mergeCells count="275">
    <mergeCell ref="T84:U84"/>
    <mergeCell ref="T61:U61"/>
    <mergeCell ref="N119:O119"/>
    <mergeCell ref="T80:U80"/>
    <mergeCell ref="R77:S77"/>
    <mergeCell ref="T74:U74"/>
    <mergeCell ref="N114:P114"/>
    <mergeCell ref="N130:P130"/>
    <mergeCell ref="N124:O124"/>
    <mergeCell ref="T64:U64"/>
    <mergeCell ref="T95:U95"/>
    <mergeCell ref="N126:O126"/>
    <mergeCell ref="N128:P128"/>
    <mergeCell ref="N127:P127"/>
    <mergeCell ref="R108:S108"/>
    <mergeCell ref="J107:Q107"/>
    <mergeCell ref="J94:Q94"/>
    <mergeCell ref="R97:S97"/>
    <mergeCell ref="R107:S107"/>
    <mergeCell ref="T98:U98"/>
    <mergeCell ref="R100:S100"/>
    <mergeCell ref="R96:S96"/>
    <mergeCell ref="R98:S98"/>
    <mergeCell ref="R92:S92"/>
    <mergeCell ref="I1:U2"/>
    <mergeCell ref="B24:B25"/>
    <mergeCell ref="R47:S47"/>
    <mergeCell ref="K67:L67"/>
    <mergeCell ref="T45:U45"/>
    <mergeCell ref="J54:Q54"/>
    <mergeCell ref="T77:U77"/>
    <mergeCell ref="T44:U44"/>
    <mergeCell ref="K88:L88"/>
    <mergeCell ref="T46:U46"/>
    <mergeCell ref="J49:Q49"/>
    <mergeCell ref="T52:U52"/>
    <mergeCell ref="M66:N66"/>
    <mergeCell ref="T62:U62"/>
    <mergeCell ref="J71:U71"/>
    <mergeCell ref="J80:Q81"/>
    <mergeCell ref="T87:U87"/>
    <mergeCell ref="J69:Q69"/>
    <mergeCell ref="M65:N65"/>
    <mergeCell ref="T81:U81"/>
    <mergeCell ref="K85:L85"/>
    <mergeCell ref="M62:N62"/>
    <mergeCell ref="T72:U72"/>
    <mergeCell ref="M64:N64"/>
    <mergeCell ref="R91:S91"/>
    <mergeCell ref="T85:U85"/>
    <mergeCell ref="J92:Q92"/>
    <mergeCell ref="L104:N104"/>
    <mergeCell ref="T76:U76"/>
    <mergeCell ref="T89:U89"/>
    <mergeCell ref="O10:P11"/>
    <mergeCell ref="B44:B45"/>
    <mergeCell ref="E2:E3"/>
    <mergeCell ref="S3:U3"/>
    <mergeCell ref="J5:M6"/>
    <mergeCell ref="T50:U50"/>
    <mergeCell ref="M33:N33"/>
    <mergeCell ref="T47:U47"/>
    <mergeCell ref="T48:U48"/>
    <mergeCell ref="T8:U8"/>
    <mergeCell ref="K11:M11"/>
    <mergeCell ref="K10:M10"/>
    <mergeCell ref="J47:Q47"/>
    <mergeCell ref="M43:N43"/>
    <mergeCell ref="I42:I45"/>
    <mergeCell ref="T9:U9"/>
    <mergeCell ref="L4:M4"/>
    <mergeCell ref="T42:U42"/>
    <mergeCell ref="N122:P122"/>
    <mergeCell ref="J108:Q108"/>
    <mergeCell ref="N123:O123"/>
    <mergeCell ref="T103:U103"/>
    <mergeCell ref="M84:N84"/>
    <mergeCell ref="J93:Q93"/>
    <mergeCell ref="R104:S104"/>
    <mergeCell ref="N121:P121"/>
    <mergeCell ref="I5:I6"/>
    <mergeCell ref="J45:S45"/>
    <mergeCell ref="T5:U5"/>
    <mergeCell ref="K63:L63"/>
    <mergeCell ref="T96:U96"/>
    <mergeCell ref="I102:I105"/>
    <mergeCell ref="I72:I77"/>
    <mergeCell ref="Q103:Q104"/>
    <mergeCell ref="T69:U69"/>
    <mergeCell ref="K75:L75"/>
    <mergeCell ref="R55:S55"/>
    <mergeCell ref="L13:M13"/>
    <mergeCell ref="K34:L34"/>
    <mergeCell ref="T6:U6"/>
    <mergeCell ref="K44:L44"/>
    <mergeCell ref="R53:S53"/>
    <mergeCell ref="N118:O118"/>
    <mergeCell ref="I30:U30"/>
    <mergeCell ref="K65:L65"/>
    <mergeCell ref="I23:J23"/>
    <mergeCell ref="T34:U34"/>
    <mergeCell ref="I32:I35"/>
    <mergeCell ref="J38:Q39"/>
    <mergeCell ref="J111:P111"/>
    <mergeCell ref="I38:I39"/>
    <mergeCell ref="J91:Q91"/>
    <mergeCell ref="M68:N68"/>
    <mergeCell ref="R94:S94"/>
    <mergeCell ref="K33:L33"/>
    <mergeCell ref="T35:U35"/>
    <mergeCell ref="J83:U83"/>
    <mergeCell ref="R103:S103"/>
    <mergeCell ref="K32:L32"/>
    <mergeCell ref="K72:L72"/>
    <mergeCell ref="T92:U92"/>
    <mergeCell ref="R95:S95"/>
    <mergeCell ref="R51:S51"/>
    <mergeCell ref="J95:Q95"/>
    <mergeCell ref="T104:U104"/>
    <mergeCell ref="R48:S48"/>
    <mergeCell ref="N117:O117"/>
    <mergeCell ref="T49:U49"/>
    <mergeCell ref="B6:C7"/>
    <mergeCell ref="R81:S81"/>
    <mergeCell ref="J31:U31"/>
    <mergeCell ref="I27:J27"/>
    <mergeCell ref="T7:U7"/>
    <mergeCell ref="J102:K102"/>
    <mergeCell ref="T55:U55"/>
    <mergeCell ref="R54:S54"/>
    <mergeCell ref="Q115:R115"/>
    <mergeCell ref="I13:J14"/>
    <mergeCell ref="T11:U11"/>
    <mergeCell ref="T38:U38"/>
    <mergeCell ref="T37:U37"/>
    <mergeCell ref="K59:L59"/>
    <mergeCell ref="R109:S109"/>
    <mergeCell ref="T56:U56"/>
    <mergeCell ref="J89:S89"/>
    <mergeCell ref="R101:S101"/>
    <mergeCell ref="N113:P113"/>
    <mergeCell ref="R111:S111"/>
    <mergeCell ref="T63:U63"/>
    <mergeCell ref="N116:O116"/>
    <mergeCell ref="R102:S102"/>
    <mergeCell ref="L102:N102"/>
    <mergeCell ref="J97:Q97"/>
    <mergeCell ref="T79:U79"/>
    <mergeCell ref="R38:S38"/>
    <mergeCell ref="T110:U110"/>
    <mergeCell ref="J96:Q96"/>
    <mergeCell ref="T68:U68"/>
    <mergeCell ref="T109:U109"/>
    <mergeCell ref="R110:S110"/>
    <mergeCell ref="K43:L43"/>
    <mergeCell ref="T102:U102"/>
    <mergeCell ref="K73:L73"/>
    <mergeCell ref="J100:Q100"/>
    <mergeCell ref="T97:U97"/>
    <mergeCell ref="K86:L86"/>
    <mergeCell ref="M74:N74"/>
    <mergeCell ref="K62:L62"/>
    <mergeCell ref="K66:L66"/>
    <mergeCell ref="T105:U105"/>
    <mergeCell ref="M88:N88"/>
    <mergeCell ref="R79:S79"/>
    <mergeCell ref="J98:Q98"/>
    <mergeCell ref="M76:N76"/>
    <mergeCell ref="T39:U39"/>
    <mergeCell ref="M72:N72"/>
    <mergeCell ref="I57:U57"/>
    <mergeCell ref="J48:Q48"/>
    <mergeCell ref="J58:U58"/>
    <mergeCell ref="J52:Q52"/>
    <mergeCell ref="I80:I81"/>
    <mergeCell ref="J37:Q37"/>
    <mergeCell ref="T67:U67"/>
    <mergeCell ref="R52:S52"/>
    <mergeCell ref="T60:U60"/>
    <mergeCell ref="R39:S39"/>
    <mergeCell ref="R50:S50"/>
    <mergeCell ref="T53:U53"/>
    <mergeCell ref="T43:U43"/>
    <mergeCell ref="N120:O120"/>
    <mergeCell ref="K84:L84"/>
    <mergeCell ref="I95:I96"/>
    <mergeCell ref="M61:N61"/>
    <mergeCell ref="T100:U100"/>
    <mergeCell ref="R99:S99"/>
    <mergeCell ref="T51:U51"/>
    <mergeCell ref="K76:L76"/>
    <mergeCell ref="R93:S93"/>
    <mergeCell ref="M63:N63"/>
    <mergeCell ref="R80:S80"/>
    <mergeCell ref="M86:N86"/>
    <mergeCell ref="T75:U75"/>
    <mergeCell ref="T66:U66"/>
    <mergeCell ref="M85:N85"/>
    <mergeCell ref="T59:U59"/>
    <mergeCell ref="T99:U99"/>
    <mergeCell ref="K68:L68"/>
    <mergeCell ref="I84:I89"/>
    <mergeCell ref="M73:N73"/>
    <mergeCell ref="M75:N75"/>
    <mergeCell ref="K87:L87"/>
    <mergeCell ref="T107:U107"/>
    <mergeCell ref="T108:U108"/>
    <mergeCell ref="L3:M3"/>
    <mergeCell ref="N131:P131"/>
    <mergeCell ref="K42:L42"/>
    <mergeCell ref="T73:U73"/>
    <mergeCell ref="M87:N87"/>
    <mergeCell ref="T33:U33"/>
    <mergeCell ref="J41:U41"/>
    <mergeCell ref="J40:U40"/>
    <mergeCell ref="T32:U32"/>
    <mergeCell ref="J104:K104"/>
    <mergeCell ref="T88:U88"/>
    <mergeCell ref="T91:U91"/>
    <mergeCell ref="M67:N67"/>
    <mergeCell ref="T65:U65"/>
    <mergeCell ref="T111:U111"/>
    <mergeCell ref="T94:U94"/>
    <mergeCell ref="K64:L64"/>
    <mergeCell ref="R49:S49"/>
    <mergeCell ref="J79:Q79"/>
    <mergeCell ref="L103:N103"/>
    <mergeCell ref="T101:U101"/>
    <mergeCell ref="J109:Q109"/>
    <mergeCell ref="N129:P129"/>
    <mergeCell ref="R37:S37"/>
    <mergeCell ref="B5:G5"/>
    <mergeCell ref="N115:O115"/>
    <mergeCell ref="K61:L61"/>
    <mergeCell ref="J77:Q77"/>
    <mergeCell ref="M59:N59"/>
    <mergeCell ref="M42:N42"/>
    <mergeCell ref="I59:I69"/>
    <mergeCell ref="J105:Q105"/>
    <mergeCell ref="M34:N34"/>
    <mergeCell ref="B40:B42"/>
    <mergeCell ref="B33:B34"/>
    <mergeCell ref="O4:P5"/>
    <mergeCell ref="K60:L60"/>
    <mergeCell ref="J55:Q55"/>
    <mergeCell ref="J110:Q110"/>
    <mergeCell ref="J103:K103"/>
    <mergeCell ref="K9:M9"/>
    <mergeCell ref="J35:Q35"/>
    <mergeCell ref="M32:N32"/>
    <mergeCell ref="J99:Q99"/>
    <mergeCell ref="F2:F3"/>
    <mergeCell ref="B47:B48"/>
    <mergeCell ref="C2:D2"/>
    <mergeCell ref="T54:U54"/>
    <mergeCell ref="J101:Q101"/>
    <mergeCell ref="T86:U86"/>
    <mergeCell ref="M60:N60"/>
    <mergeCell ref="R69:S69"/>
    <mergeCell ref="J53:Q53"/>
    <mergeCell ref="T93:U93"/>
    <mergeCell ref="M44:N44"/>
    <mergeCell ref="K74:L74"/>
    <mergeCell ref="J50:Q50"/>
    <mergeCell ref="C24:C25"/>
    <mergeCell ref="K13:K14"/>
    <mergeCell ref="R35:S35"/>
    <mergeCell ref="T10:U10"/>
    <mergeCell ref="S10:S11"/>
    <mergeCell ref="Q10:Q11"/>
    <mergeCell ref="T4:U4"/>
    <mergeCell ref="J51:Q51"/>
    <mergeCell ref="C3:D3"/>
    <mergeCell ref="B11:C11"/>
    <mergeCell ref="B12:G1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2"/>
  <sheetViews>
    <sheetView topLeftCell="B1" workbookViewId="0">
      <selection activeCell="C22" sqref="C22"/>
    </sheetView>
  </sheetViews>
  <sheetFormatPr defaultColWidth="9" defaultRowHeight="14.4"/>
  <cols>
    <col min="1" max="1" width="4.44140625" customWidth="1"/>
    <col min="2" max="2" width="28.5546875" customWidth="1"/>
    <col min="3" max="3" width="16.109375" customWidth="1"/>
    <col min="4" max="5" width="4.109375" customWidth="1"/>
    <col min="6" max="6" width="5.5546875" customWidth="1"/>
    <col min="7" max="9" width="4.109375" customWidth="1"/>
    <col min="10" max="10" width="6.109375" customWidth="1"/>
    <col min="11" max="12" width="4.109375" customWidth="1"/>
    <col min="13" max="13" width="5.5546875" customWidth="1"/>
    <col min="14" max="256" width="8.5546875" customWidth="1"/>
  </cols>
  <sheetData>
    <row r="1" spans="2:3" ht="9" customHeight="1"/>
    <row r="2" spans="2:3" ht="21">
      <c r="B2" s="248" t="s">
        <v>49</v>
      </c>
      <c r="C2" s="249">
        <f>PROSES!D38</f>
        <v>17</v>
      </c>
    </row>
    <row r="3" spans="2:3" ht="21">
      <c r="B3" s="250" t="s">
        <v>317</v>
      </c>
      <c r="C3" s="251">
        <f>PROSES!D33</f>
        <v>2</v>
      </c>
    </row>
    <row r="4" spans="2:3" ht="21">
      <c r="B4" s="252" t="s">
        <v>318</v>
      </c>
      <c r="C4" s="253">
        <f>PROSES!D29</f>
        <v>2026</v>
      </c>
    </row>
    <row r="5" spans="2:3" ht="6.75" customHeight="1">
      <c r="B5" s="254"/>
      <c r="C5" s="254"/>
    </row>
    <row r="6" spans="2:3" ht="15.6">
      <c r="B6" s="255" t="s">
        <v>316</v>
      </c>
      <c r="C6" s="256">
        <f>C4+(C3-1)/12+C2/365</f>
        <v>2026.129908675799</v>
      </c>
    </row>
    <row r="7" spans="2:3" ht="15.6">
      <c r="B7" s="257" t="s">
        <v>347</v>
      </c>
      <c r="C7" s="258">
        <f>IF(C4&lt;=-500,-20+32*(C6/100-18.2)*(C6/100-18.2),0)</f>
        <v>0</v>
      </c>
    </row>
    <row r="8" spans="2:3" ht="15.6">
      <c r="B8" s="259" t="s">
        <v>348</v>
      </c>
      <c r="C8" s="258">
        <f>IF(AND(C4&gt;-500,C4&lt;=501),10583.6-1014.41*(C6/100)+33.78311*(C6/100)*(C6/100)-5.952053*(C6/100)*(C6/100)*(C6/100)-0.1798452*(C6/100)*(C6/100)*(C6/100)*(C6/100)+0.022174192*(C6/100)*(C6/100)*(C6/100)*(C6/100)*(C6/100)+0.0090316521*(C6/100)*(C6/100)*(C6/100)*(C6/100)*(C6/100)*(C6/100),0)</f>
        <v>0</v>
      </c>
    </row>
    <row r="9" spans="2:3" ht="15.6">
      <c r="B9" s="259" t="s">
        <v>349</v>
      </c>
      <c r="C9" s="258">
        <f>IF(AND(C$5&gt;500,C$5&lt;=1601),1574.2-556.01*(C6/100-10)+71.23472*(C6/100-10)*(C6/100-10)+0.319781*(C6/100-10)*(C6/100-10)*(C6/100-10)-0.8503463*(C6/100-10)*(C6/100-10)*(C6/100-10)*(C6/100-10)-0.005050998*(C6/100-10)*(C6/100-10)*(C6/100-10)*(C6/100-10)*(C6/100-10)+0.0083572073*(C6/100-10)*(C6/100-10)*(C6/100-10)*(C6/100-10)*(C6/100-10)*(C6/100-10),0)</f>
        <v>0</v>
      </c>
    </row>
    <row r="10" spans="2:3" ht="15.6">
      <c r="B10" s="259" t="s">
        <v>350</v>
      </c>
      <c r="C10" s="258">
        <f>IF(AND(C4&gt;1600,C4&lt;=1701),120-0.9808*(C6-1600)-0.01532*(C6-1600)*(C6-1600)+(C6-1600)*(C6-1600)*(C6-1600)/7129,0)</f>
        <v>0</v>
      </c>
    </row>
    <row r="11" spans="2:3" ht="15.6">
      <c r="B11" s="259" t="s">
        <v>351</v>
      </c>
      <c r="C11" s="258">
        <f>IF(AND(C4&gt;1700,C4&lt;=1801),8.83+0.1603*(C6-1700)-0.0059285*(C6-1700)*(C6-1700)+0.00013336*(C6-1700)*(C6-1700)*(C6-1700)-(C6-1700)*(C6-1700)*(C6-1700)*(C6-1700)/1174000,0)</f>
        <v>0</v>
      </c>
    </row>
    <row r="12" spans="2:3" ht="15.6">
      <c r="B12" s="259" t="s">
        <v>352</v>
      </c>
      <c r="C12" s="258">
        <f>IF(AND(C4&gt;1800,C4&lt;=1861),13.72-0.332447*(C6-1800)+0.0068612*(C6-1800)*(C6-1800)+0.0041116*(C6-1800)*(C6-1800)*(C6-1800)-0.00037436*(C6-1800)*(C6-1800)*(C6-1800)*(C6-1800)+0.0000121272*(C6-1800)*(C6-1800)*(C6-1800)*(C6-1800)*(C6-1800)-0.0000001699*(C6-1800)*(C6-1800)*(C6-1800)*(C6-1800)*(C6-1800)*(C6-1800)+0.000000000875*(C6-1800)*(C6-1800)*(C6-1800)*(C6-1800)*(C6-1800)*(C6-1800)*(C6-1800),0)</f>
        <v>0</v>
      </c>
    </row>
    <row r="13" spans="2:3" ht="15.6">
      <c r="B13" s="259" t="s">
        <v>353</v>
      </c>
      <c r="C13" s="258">
        <f>IF(AND(C4&gt;1860,C4&lt;=1901),7.62+0.5737*(C6-1860)-0.251754*(C6-1860)*(C6-1860)+0.01680668*(C6-1860)*(C6-1860)*(C6-1860)-0.0004473624*(C6-1860)*(C6-1860)*(C6-1860)*(C6-1860)+(C6-1860)*(C6-1860)*(C6-1860)*(C6-1860)*(C6-1860)/233174,0)</f>
        <v>0</v>
      </c>
    </row>
    <row r="14" spans="2:3" ht="15.6">
      <c r="B14" s="259" t="s">
        <v>354</v>
      </c>
      <c r="C14" s="258">
        <f>IF(AND(C4&gt;1900,C4&lt;=1921),-2.79+1.494119*(C6-1900)-0.0598939*(C6-1900)*(C6-1900)+0.0061966*(C6-1900)*(C6-1900)*(C6-1900)-0.000197*(C6-1900)*(C6-1900)*(C6-1900)*(C6-1900),0)</f>
        <v>0</v>
      </c>
    </row>
    <row r="15" spans="2:3" ht="15.6">
      <c r="B15" s="259" t="s">
        <v>355</v>
      </c>
      <c r="C15" s="258">
        <f>IF(AND(C4&gt;1920,C4&lt;=1942),21.2+0.84493*(C6-1920)-0.0761*(C6-1920)*(C6-1920)+0.0020936*(C6-1920)*(C6-1920)*(C6-1920),0)</f>
        <v>0</v>
      </c>
    </row>
    <row r="16" spans="2:3" ht="15.6">
      <c r="B16" s="259" t="s">
        <v>357</v>
      </c>
      <c r="C16" s="258">
        <f>IF(AND(C4&gt;1941,C4&lt;=1962),29.07+0.407*(C6-1950)-(C6-1950)*(C6-1950)/233+(C6-1950)*(C6-1950)*(C6-1950)/2547,0)</f>
        <v>0</v>
      </c>
    </row>
    <row r="17" spans="2:3" ht="15.6">
      <c r="B17" s="260" t="s">
        <v>356</v>
      </c>
      <c r="C17" s="261">
        <f>IF(AND(C4&gt;1961,C4&lt;1987),45.45+1.067*(C6-1975)-(C6-1975)*(C6-1975)/260-(C6-1975)*(C6-1975)*(C6-1975)/718,0)</f>
        <v>0</v>
      </c>
    </row>
    <row r="18" spans="2:3" ht="15.6">
      <c r="B18" s="260" t="s">
        <v>322</v>
      </c>
      <c r="C18" s="261">
        <f>IF(AND(C4&gt;1986,C4&lt;2006),63.86+0.3345*(C6-2000)-0.060374+(C6-2000)*(C6-2000)+0.0017275*(C6-2000)*(C6-2000)+0.000651814*(C6-2000)*(C6-2000)*(C6-2000)*(C6-2000)+0.00002373599*(C6-2000)*(C6-2000)*(C6-2000)*(C6-2000)*(C6-2000),0)</f>
        <v>0</v>
      </c>
    </row>
    <row r="19" spans="2:3" ht="15.6">
      <c r="B19" s="260" t="s">
        <v>319</v>
      </c>
      <c r="C19" s="261">
        <f>IF(AND(C4&gt;2005,C4&lt;2051),62.92+0.32217*(C6-2000)+0.005589*(C6-2000)*(C6-2000),0)</f>
        <v>75.154286098152056</v>
      </c>
    </row>
    <row r="20" spans="2:3" ht="15.6">
      <c r="B20" s="260" t="s">
        <v>320</v>
      </c>
      <c r="C20" s="261">
        <f>IF(AND(C4&gt;2050,C4&lt;2151),-20+32*((C6-1820)/100)*((C6-1820)/100)-0.5628*(2150-C6),0)</f>
        <v>0</v>
      </c>
    </row>
    <row r="21" spans="2:3" ht="15.6">
      <c r="B21" s="262" t="s">
        <v>321</v>
      </c>
      <c r="C21" s="263">
        <f>IF(C6&gt;2150,-20+32*((C6-1820)/100)*((C6-1820)/100),0)</f>
        <v>0</v>
      </c>
    </row>
    <row r="22" spans="2:3" ht="21">
      <c r="B22" s="264" t="s">
        <v>198</v>
      </c>
      <c r="C22" s="265">
        <f>SUM(C7:C21)</f>
        <v>75.154286098152056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39"/>
  <sheetViews>
    <sheetView topLeftCell="A59" workbookViewId="0">
      <selection activeCell="C140" sqref="C140"/>
    </sheetView>
  </sheetViews>
  <sheetFormatPr defaultColWidth="9" defaultRowHeight="14.4"/>
  <cols>
    <col min="1" max="1" width="5.5546875" customWidth="1"/>
    <col min="2" max="2" width="11.88671875" customWidth="1"/>
    <col min="3" max="3" width="13.5546875" customWidth="1"/>
    <col min="4" max="4" width="10.109375" customWidth="1"/>
    <col min="5" max="5" width="9.5546875" customWidth="1"/>
    <col min="6" max="6" width="10.109375" customWidth="1"/>
    <col min="7" max="8" width="8.5546875"/>
    <col min="9" max="9" width="10.88671875" customWidth="1"/>
    <col min="10" max="11" width="4.5546875" customWidth="1"/>
    <col min="12" max="12" width="11.5546875" customWidth="1"/>
    <col min="13" max="13" width="10.5546875" customWidth="1"/>
    <col min="14" max="14" width="10.88671875" customWidth="1"/>
    <col min="15" max="15" width="10.5546875" customWidth="1"/>
    <col min="16" max="16" width="10.88671875" customWidth="1"/>
    <col min="17" max="17" width="9.5546875" customWidth="1"/>
    <col min="18" max="18" width="10.88671875" customWidth="1"/>
    <col min="19" max="19" width="10.44140625" customWidth="1"/>
    <col min="20" max="21" width="8.5546875"/>
    <col min="22" max="22" width="11" customWidth="1"/>
    <col min="23" max="24" width="8.5546875"/>
    <col min="25" max="26" width="13.88671875" customWidth="1"/>
    <col min="27" max="27" width="13.5546875" customWidth="1"/>
    <col min="28" max="28" width="13.88671875" customWidth="1"/>
    <col min="29" max="29" width="12.5546875" customWidth="1"/>
    <col min="30" max="30" width="13.88671875" customWidth="1"/>
    <col min="31" max="31" width="13.5546875" customWidth="1"/>
    <col min="32" max="32" width="13.44140625" customWidth="1"/>
    <col min="33" max="33" width="12.88671875" customWidth="1"/>
    <col min="34" max="36" width="13.88671875" customWidth="1"/>
    <col min="37" max="256" width="8.5546875" customWidth="1"/>
  </cols>
  <sheetData>
    <row r="1" spans="1:36">
      <c r="A1" s="266"/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</row>
    <row r="2" spans="1:36" ht="17.399999999999999">
      <c r="A2" s="266"/>
      <c r="B2" s="779" t="s">
        <v>14</v>
      </c>
      <c r="C2" s="780"/>
      <c r="D2" s="780"/>
      <c r="E2" s="780"/>
      <c r="F2" s="781"/>
      <c r="G2" s="267"/>
      <c r="H2" s="764" t="s">
        <v>15</v>
      </c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</row>
    <row r="3" spans="1:36" ht="17.399999999999999">
      <c r="A3" s="266"/>
      <c r="B3" s="268" t="s">
        <v>16</v>
      </c>
      <c r="C3" s="269" t="s">
        <v>17</v>
      </c>
      <c r="D3" s="269" t="s">
        <v>18</v>
      </c>
      <c r="E3" s="269" t="s">
        <v>19</v>
      </c>
      <c r="F3" s="269" t="s">
        <v>20</v>
      </c>
      <c r="G3" s="270"/>
      <c r="H3" s="773" t="s">
        <v>21</v>
      </c>
      <c r="I3" s="774" t="s">
        <v>22</v>
      </c>
      <c r="J3" s="776" t="s">
        <v>23</v>
      </c>
      <c r="K3" s="776"/>
      <c r="L3" s="271" t="s">
        <v>24</v>
      </c>
      <c r="M3" s="271" t="s">
        <v>25</v>
      </c>
      <c r="N3" s="271" t="s">
        <v>26</v>
      </c>
      <c r="O3" s="271" t="s">
        <v>27</v>
      </c>
      <c r="P3" s="271" t="s">
        <v>18</v>
      </c>
      <c r="Q3" s="271" t="s">
        <v>28</v>
      </c>
      <c r="R3" s="271" t="s">
        <v>29</v>
      </c>
      <c r="S3" s="271" t="s">
        <v>30</v>
      </c>
      <c r="T3" s="272"/>
      <c r="U3" s="769" t="s">
        <v>31</v>
      </c>
      <c r="V3" s="770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6"/>
      <c r="AI3" s="266"/>
      <c r="AJ3" s="266"/>
    </row>
    <row r="4" spans="1:36" ht="15.6">
      <c r="A4" s="266"/>
      <c r="B4" s="273" t="s">
        <v>32</v>
      </c>
      <c r="C4" s="274" t="s">
        <v>33</v>
      </c>
      <c r="D4" s="274" t="s">
        <v>34</v>
      </c>
      <c r="E4" s="274" t="s">
        <v>35</v>
      </c>
      <c r="F4" s="274" t="s">
        <v>36</v>
      </c>
      <c r="G4" s="275"/>
      <c r="H4" s="773"/>
      <c r="I4" s="775"/>
      <c r="J4" s="276" t="s">
        <v>37</v>
      </c>
      <c r="K4" s="276" t="s">
        <v>38</v>
      </c>
      <c r="L4" s="277" t="s">
        <v>39</v>
      </c>
      <c r="M4" s="277" t="s">
        <v>40</v>
      </c>
      <c r="N4" s="277" t="s">
        <v>36</v>
      </c>
      <c r="O4" s="277" t="s">
        <v>33</v>
      </c>
      <c r="P4" s="277" t="s">
        <v>41</v>
      </c>
      <c r="Q4" s="277" t="s">
        <v>42</v>
      </c>
      <c r="R4" s="277" t="s">
        <v>43</v>
      </c>
      <c r="S4" s="277" t="s">
        <v>44</v>
      </c>
      <c r="T4" s="278"/>
      <c r="U4" s="783" t="s">
        <v>45</v>
      </c>
      <c r="V4" s="784"/>
      <c r="W4" s="266"/>
      <c r="X4" s="771" t="s">
        <v>46</v>
      </c>
      <c r="Y4" s="771"/>
      <c r="Z4" s="771"/>
      <c r="AA4" s="771"/>
      <c r="AB4" s="771"/>
      <c r="AC4" s="771"/>
      <c r="AD4" s="771"/>
      <c r="AE4" s="771"/>
      <c r="AF4" s="771"/>
      <c r="AG4" s="771"/>
      <c r="AH4" s="771"/>
      <c r="AI4" s="771"/>
      <c r="AJ4" s="771"/>
    </row>
    <row r="5" spans="1:36">
      <c r="A5" s="266"/>
      <c r="B5" s="279">
        <v>1</v>
      </c>
      <c r="C5" s="280">
        <v>2</v>
      </c>
      <c r="D5" s="281">
        <v>3</v>
      </c>
      <c r="E5" s="282">
        <v>4</v>
      </c>
      <c r="F5" s="283">
        <v>5</v>
      </c>
      <c r="G5" s="284"/>
      <c r="H5" s="285">
        <v>1</v>
      </c>
      <c r="I5" s="286">
        <v>2</v>
      </c>
      <c r="J5" s="287">
        <v>3</v>
      </c>
      <c r="K5" s="287">
        <v>4</v>
      </c>
      <c r="L5" s="288">
        <v>5</v>
      </c>
      <c r="M5" s="289">
        <v>6</v>
      </c>
      <c r="N5" s="290">
        <v>7</v>
      </c>
      <c r="O5" s="291">
        <v>8</v>
      </c>
      <c r="P5" s="292">
        <v>9</v>
      </c>
      <c r="Q5" s="293">
        <v>10</v>
      </c>
      <c r="R5" s="294">
        <v>11</v>
      </c>
      <c r="S5" s="295">
        <v>12</v>
      </c>
      <c r="T5" s="296"/>
      <c r="U5" s="297" t="s">
        <v>47</v>
      </c>
      <c r="V5" s="297" t="s">
        <v>48</v>
      </c>
      <c r="W5" s="266"/>
      <c r="X5" s="298" t="s">
        <v>49</v>
      </c>
      <c r="Y5" s="298" t="s">
        <v>50</v>
      </c>
      <c r="Z5" s="298" t="s">
        <v>51</v>
      </c>
      <c r="AA5" s="298" t="s">
        <v>52</v>
      </c>
      <c r="AB5" s="298" t="s">
        <v>53</v>
      </c>
      <c r="AC5" s="298" t="s">
        <v>54</v>
      </c>
      <c r="AD5" s="298" t="s">
        <v>55</v>
      </c>
      <c r="AE5" s="298" t="s">
        <v>56</v>
      </c>
      <c r="AF5" s="298" t="s">
        <v>57</v>
      </c>
      <c r="AG5" s="298" t="s">
        <v>58</v>
      </c>
      <c r="AH5" s="298" t="s">
        <v>59</v>
      </c>
      <c r="AI5" s="298" t="s">
        <v>60</v>
      </c>
      <c r="AJ5" s="298" t="s">
        <v>61</v>
      </c>
    </row>
    <row r="6" spans="1:36">
      <c r="A6" s="266"/>
      <c r="B6" s="299">
        <v>-180</v>
      </c>
      <c r="C6" s="300">
        <v>1884297.0508000001</v>
      </c>
      <c r="D6" s="301">
        <v>330.62040000000002</v>
      </c>
      <c r="E6" s="302">
        <v>6.7172999999999998</v>
      </c>
      <c r="F6" s="303">
        <v>357.75170000000003</v>
      </c>
      <c r="G6" s="304"/>
      <c r="H6" s="305">
        <v>-180</v>
      </c>
      <c r="I6" s="306">
        <v>1884298</v>
      </c>
      <c r="J6" s="307">
        <v>6</v>
      </c>
      <c r="K6" s="307">
        <v>0</v>
      </c>
      <c r="L6" s="308">
        <v>255.21420000000001</v>
      </c>
      <c r="M6" s="309">
        <v>358.8716</v>
      </c>
      <c r="N6" s="310">
        <v>269.05900000000003</v>
      </c>
      <c r="O6" s="311">
        <v>21.440200000000001</v>
      </c>
      <c r="P6" s="312">
        <v>345.66969999999998</v>
      </c>
      <c r="Q6" s="313">
        <v>13.8454</v>
      </c>
      <c r="R6" s="314">
        <v>23.639324999999999</v>
      </c>
      <c r="S6" s="315">
        <v>321.97550000000001</v>
      </c>
      <c r="T6" s="296"/>
      <c r="U6" s="316">
        <v>400</v>
      </c>
      <c r="V6" s="316">
        <v>1867157</v>
      </c>
      <c r="W6" s="266"/>
      <c r="X6" s="298">
        <v>1</v>
      </c>
      <c r="Y6" s="317">
        <v>-23.024702777777776</v>
      </c>
      <c r="Z6" s="317">
        <v>-17.186724999999999</v>
      </c>
      <c r="AA6" s="317">
        <v>-7.3244388888888885</v>
      </c>
      <c r="AB6" s="317">
        <v>4.8051138888888891</v>
      </c>
      <c r="AC6" s="317">
        <v>15.283111111111111</v>
      </c>
      <c r="AD6" s="317">
        <v>22.143508333333333</v>
      </c>
      <c r="AE6" s="317">
        <v>23.056441666666668</v>
      </c>
      <c r="AF6" s="317">
        <v>17.838388888888886</v>
      </c>
      <c r="AG6" s="317">
        <v>8.0285166666666683</v>
      </c>
      <c r="AH6" s="317">
        <v>-3.4506916666666667</v>
      </c>
      <c r="AI6" s="317">
        <v>-14.642633333333333</v>
      </c>
      <c r="AJ6" s="317">
        <v>-21.90144722222222</v>
      </c>
    </row>
    <row r="7" spans="1:36">
      <c r="A7" s="266"/>
      <c r="B7" s="299">
        <v>-150</v>
      </c>
      <c r="C7" s="300">
        <v>1894928.0615000001</v>
      </c>
      <c r="D7" s="301">
        <v>212.0162</v>
      </c>
      <c r="E7" s="302">
        <v>300.71550000000002</v>
      </c>
      <c r="F7" s="303">
        <v>35.680300000000003</v>
      </c>
      <c r="G7" s="304"/>
      <c r="H7" s="305">
        <v>-150</v>
      </c>
      <c r="I7" s="306">
        <v>1894929</v>
      </c>
      <c r="J7" s="307">
        <v>4</v>
      </c>
      <c r="K7" s="307">
        <v>1</v>
      </c>
      <c r="L7" s="308">
        <v>293.62860000000001</v>
      </c>
      <c r="M7" s="309">
        <v>36.7896</v>
      </c>
      <c r="N7" s="310">
        <v>307.34230000000002</v>
      </c>
      <c r="O7" s="311">
        <v>315.303</v>
      </c>
      <c r="P7" s="312">
        <v>226.92250000000001</v>
      </c>
      <c r="Q7" s="313">
        <v>13.7143</v>
      </c>
      <c r="R7" s="314">
        <v>23.635645</v>
      </c>
      <c r="S7" s="315">
        <v>0.3891</v>
      </c>
      <c r="T7" s="296"/>
      <c r="U7" s="316">
        <v>500</v>
      </c>
      <c r="V7" s="316">
        <v>1903682</v>
      </c>
      <c r="W7" s="266"/>
      <c r="X7" s="298">
        <v>2</v>
      </c>
      <c r="Y7" s="317">
        <v>-22.940899999999999</v>
      </c>
      <c r="Z7" s="317">
        <v>-16.901313888888886</v>
      </c>
      <c r="AA7" s="317">
        <v>-6.942394444444445</v>
      </c>
      <c r="AB7" s="317">
        <v>5.1893500000000001</v>
      </c>
      <c r="AC7" s="317">
        <v>15.580630555555555</v>
      </c>
      <c r="AD7" s="317">
        <v>22.27161111111111</v>
      </c>
      <c r="AE7" s="317">
        <v>22.981227777777775</v>
      </c>
      <c r="AF7" s="317">
        <v>17.581019444444443</v>
      </c>
      <c r="AG7" s="317">
        <v>7.6634611111111113</v>
      </c>
      <c r="AH7" s="317">
        <v>-3.8377222222222223</v>
      </c>
      <c r="AI7" s="317">
        <v>-14.958238888888888</v>
      </c>
      <c r="AJ7" s="317">
        <v>-22.048727777777778</v>
      </c>
    </row>
    <row r="8" spans="1:36">
      <c r="A8" s="266"/>
      <c r="B8" s="299">
        <v>-120</v>
      </c>
      <c r="C8" s="300">
        <v>1905559.0722000001</v>
      </c>
      <c r="D8" s="301">
        <v>93.411799999999999</v>
      </c>
      <c r="E8" s="302">
        <v>234.71549999999999</v>
      </c>
      <c r="F8" s="303">
        <v>73.608800000000002</v>
      </c>
      <c r="G8" s="304"/>
      <c r="H8" s="305">
        <v>-120</v>
      </c>
      <c r="I8" s="306">
        <v>1905560</v>
      </c>
      <c r="J8" s="307">
        <v>2</v>
      </c>
      <c r="K8" s="307">
        <v>2</v>
      </c>
      <c r="L8" s="308">
        <v>332.04300000000001</v>
      </c>
      <c r="M8" s="309">
        <v>74.707599999999999</v>
      </c>
      <c r="N8" s="310">
        <v>345.62540000000001</v>
      </c>
      <c r="O8" s="311">
        <v>249.16720000000001</v>
      </c>
      <c r="P8" s="312">
        <v>108.1747</v>
      </c>
      <c r="Q8" s="313">
        <v>13.5829</v>
      </c>
      <c r="R8" s="314">
        <v>23.631962000000001</v>
      </c>
      <c r="S8" s="315">
        <v>38.802900000000001</v>
      </c>
      <c r="T8" s="296"/>
      <c r="U8" s="316">
        <v>600</v>
      </c>
      <c r="V8" s="316">
        <v>1940207</v>
      </c>
      <c r="W8" s="266"/>
      <c r="X8" s="298">
        <v>3</v>
      </c>
      <c r="Y8" s="317">
        <v>-22.849480555555555</v>
      </c>
      <c r="Z8" s="317">
        <v>-16.61096388888889</v>
      </c>
      <c r="AA8" s="317">
        <v>-6.5587111111111112</v>
      </c>
      <c r="AB8" s="317">
        <v>5.5720527777777775</v>
      </c>
      <c r="AC8" s="317">
        <v>15.873850000000001</v>
      </c>
      <c r="AD8" s="317">
        <v>22.393227777777778</v>
      </c>
      <c r="AE8" s="317">
        <v>22.899336111111111</v>
      </c>
      <c r="AF8" s="317">
        <v>17.318891666666666</v>
      </c>
      <c r="AG8" s="317">
        <v>7.2963416666666667</v>
      </c>
      <c r="AH8" s="317">
        <v>-4.224013888888889</v>
      </c>
      <c r="AI8" s="317">
        <v>-15.26978888888889</v>
      </c>
      <c r="AJ8" s="317">
        <v>-22.188930555555554</v>
      </c>
    </row>
    <row r="9" spans="1:36">
      <c r="A9" s="266"/>
      <c r="B9" s="299">
        <v>-90</v>
      </c>
      <c r="C9" s="300">
        <v>1916190.0830000001</v>
      </c>
      <c r="D9" s="301">
        <v>334.80720000000002</v>
      </c>
      <c r="E9" s="302">
        <v>168.71729999999999</v>
      </c>
      <c r="F9" s="303">
        <v>111.53740000000001</v>
      </c>
      <c r="G9" s="304"/>
      <c r="H9" s="305">
        <v>-90</v>
      </c>
      <c r="I9" s="306">
        <v>1916191</v>
      </c>
      <c r="J9" s="307">
        <v>0</v>
      </c>
      <c r="K9" s="307">
        <v>3</v>
      </c>
      <c r="L9" s="308">
        <v>10.4575</v>
      </c>
      <c r="M9" s="309">
        <v>112.6255</v>
      </c>
      <c r="N9" s="310">
        <v>23.908200000000001</v>
      </c>
      <c r="O9" s="311">
        <v>183.03270000000001</v>
      </c>
      <c r="P9" s="312">
        <v>349.4264</v>
      </c>
      <c r="Q9" s="313">
        <v>13.4512</v>
      </c>
      <c r="R9" s="314">
        <v>23.628274999999999</v>
      </c>
      <c r="S9" s="315">
        <v>77.216700000000003</v>
      </c>
      <c r="T9" s="296"/>
      <c r="U9" s="316">
        <v>700</v>
      </c>
      <c r="V9" s="316">
        <v>1976732</v>
      </c>
      <c r="W9" s="266"/>
      <c r="X9" s="298">
        <v>4</v>
      </c>
      <c r="Y9" s="317">
        <v>-22.750486111111112</v>
      </c>
      <c r="Z9" s="317">
        <v>-16.315788888888889</v>
      </c>
      <c r="AA9" s="317">
        <v>-6.1735027777777782</v>
      </c>
      <c r="AB9" s="317">
        <v>5.9531333333333336</v>
      </c>
      <c r="AC9" s="317">
        <v>16.162680555555553</v>
      </c>
      <c r="AD9" s="317">
        <v>22.508319444444446</v>
      </c>
      <c r="AE9" s="317">
        <v>22.810797222222224</v>
      </c>
      <c r="AF9" s="317">
        <v>17.052083333333336</v>
      </c>
      <c r="AG9" s="317">
        <v>6.9272527777777784</v>
      </c>
      <c r="AH9" s="317">
        <v>-4.6094722222222222</v>
      </c>
      <c r="AI9" s="317">
        <v>-15.577175</v>
      </c>
      <c r="AJ9" s="317">
        <v>-22.321980555555555</v>
      </c>
    </row>
    <row r="10" spans="1:36">
      <c r="A10" s="266"/>
      <c r="B10" s="299">
        <v>-60</v>
      </c>
      <c r="C10" s="300">
        <v>1926821.0937000001</v>
      </c>
      <c r="D10" s="301">
        <v>216.2022</v>
      </c>
      <c r="E10" s="302">
        <v>102.721</v>
      </c>
      <c r="F10" s="303">
        <v>149.46600000000001</v>
      </c>
      <c r="G10" s="304"/>
      <c r="H10" s="305">
        <v>-60</v>
      </c>
      <c r="I10" s="306">
        <v>1926822</v>
      </c>
      <c r="J10" s="307">
        <v>5</v>
      </c>
      <c r="K10" s="307">
        <v>4</v>
      </c>
      <c r="L10" s="308">
        <v>48.872</v>
      </c>
      <c r="M10" s="309">
        <v>150.54339999999999</v>
      </c>
      <c r="N10" s="310">
        <v>62.1907</v>
      </c>
      <c r="O10" s="311">
        <v>116.8997</v>
      </c>
      <c r="P10" s="312">
        <v>230.67750000000001</v>
      </c>
      <c r="Q10" s="313">
        <v>13.3192</v>
      </c>
      <c r="R10" s="314">
        <v>23.624583999999999</v>
      </c>
      <c r="S10" s="315">
        <v>115.6305</v>
      </c>
      <c r="T10" s="296"/>
      <c r="U10" s="316">
        <v>800</v>
      </c>
      <c r="V10" s="316">
        <v>2013257</v>
      </c>
      <c r="W10" s="266"/>
      <c r="X10" s="298">
        <v>5</v>
      </c>
      <c r="Y10" s="317">
        <v>-22.643963888888887</v>
      </c>
      <c r="Z10" s="317">
        <v>-16.015902777777779</v>
      </c>
      <c r="AA10" s="317">
        <v>-5.7868750000000002</v>
      </c>
      <c r="AB10" s="317">
        <v>6.3324916666666669</v>
      </c>
      <c r="AC10" s="317">
        <v>16.447038888888891</v>
      </c>
      <c r="AD10" s="317">
        <v>22.616841666666666</v>
      </c>
      <c r="AE10" s="317">
        <v>22.71565</v>
      </c>
      <c r="AF10" s="317">
        <v>16.780683333333332</v>
      </c>
      <c r="AG10" s="317">
        <v>6.5562777777777779</v>
      </c>
      <c r="AH10" s="317">
        <v>-4.9939916666666671</v>
      </c>
      <c r="AI10" s="317">
        <v>-15.880277777777778</v>
      </c>
      <c r="AJ10" s="317">
        <v>-22.447811111111111</v>
      </c>
    </row>
    <row r="11" spans="1:36">
      <c r="A11" s="266"/>
      <c r="B11" s="299">
        <v>-30</v>
      </c>
      <c r="C11" s="300">
        <v>1937452.1044999999</v>
      </c>
      <c r="D11" s="301">
        <v>97.596999999999994</v>
      </c>
      <c r="E11" s="302">
        <v>36.726500000000001</v>
      </c>
      <c r="F11" s="303">
        <v>187.3946</v>
      </c>
      <c r="G11" s="304"/>
      <c r="H11" s="305">
        <v>-30</v>
      </c>
      <c r="I11" s="306">
        <v>1937453</v>
      </c>
      <c r="J11" s="307">
        <v>3</v>
      </c>
      <c r="K11" s="307">
        <v>0</v>
      </c>
      <c r="L11" s="308">
        <v>87.286600000000007</v>
      </c>
      <c r="M11" s="309">
        <v>188.46129999999999</v>
      </c>
      <c r="N11" s="310">
        <v>100.473</v>
      </c>
      <c r="O11" s="311">
        <v>50.768099999999997</v>
      </c>
      <c r="P11" s="312">
        <v>111.928</v>
      </c>
      <c r="Q11" s="313">
        <v>13.1869</v>
      </c>
      <c r="R11" s="314">
        <v>23.620888999999998</v>
      </c>
      <c r="S11" s="315">
        <v>154.0445</v>
      </c>
      <c r="T11" s="296"/>
      <c r="U11" s="316">
        <v>900</v>
      </c>
      <c r="V11" s="316">
        <v>2049782</v>
      </c>
      <c r="W11" s="266"/>
      <c r="X11" s="298">
        <v>6</v>
      </c>
      <c r="Y11" s="317">
        <v>-22.529969444444443</v>
      </c>
      <c r="Z11" s="317">
        <v>-15.711419444444443</v>
      </c>
      <c r="AA11" s="317">
        <v>-5.398938888888889</v>
      </c>
      <c r="AB11" s="317">
        <v>6.7100333333333335</v>
      </c>
      <c r="AC11" s="317">
        <v>16.726836111111108</v>
      </c>
      <c r="AD11" s="317">
        <v>22.718752777777777</v>
      </c>
      <c r="AE11" s="317">
        <v>22.613930555555555</v>
      </c>
      <c r="AF11" s="317">
        <v>16.504766666666665</v>
      </c>
      <c r="AG11" s="317">
        <v>6.1835111111111116</v>
      </c>
      <c r="AH11" s="317">
        <v>-5.3774777777777771</v>
      </c>
      <c r="AI11" s="317">
        <v>-16.178991666666668</v>
      </c>
      <c r="AJ11" s="317">
        <v>-22.566358333333334</v>
      </c>
    </row>
    <row r="12" spans="1:36">
      <c r="A12" s="266"/>
      <c r="B12" s="299">
        <v>0</v>
      </c>
      <c r="C12" s="300">
        <v>1948083.1152999999</v>
      </c>
      <c r="D12" s="301">
        <v>338.99149999999997</v>
      </c>
      <c r="E12" s="302">
        <v>330.73379999999997</v>
      </c>
      <c r="F12" s="303">
        <v>225.32320000000001</v>
      </c>
      <c r="G12" s="304"/>
      <c r="H12" s="305">
        <v>0</v>
      </c>
      <c r="I12" s="306">
        <v>1948084</v>
      </c>
      <c r="J12" s="307">
        <v>1</v>
      </c>
      <c r="K12" s="307">
        <v>1</v>
      </c>
      <c r="L12" s="308">
        <v>125.7012</v>
      </c>
      <c r="M12" s="309">
        <v>226.37909999999999</v>
      </c>
      <c r="N12" s="310">
        <v>138.7551</v>
      </c>
      <c r="O12" s="311">
        <v>344.63780000000003</v>
      </c>
      <c r="P12" s="312">
        <v>353.17790000000002</v>
      </c>
      <c r="Q12" s="313">
        <v>13.0543</v>
      </c>
      <c r="R12" s="314">
        <v>23.617190999999998</v>
      </c>
      <c r="S12" s="315">
        <v>192.45849999999999</v>
      </c>
      <c r="T12" s="296"/>
      <c r="U12" s="316">
        <v>1000</v>
      </c>
      <c r="V12" s="316">
        <v>2086307</v>
      </c>
      <c r="W12" s="266"/>
      <c r="X12" s="298">
        <v>7</v>
      </c>
      <c r="Y12" s="317">
        <v>-22.408555555555555</v>
      </c>
      <c r="Z12" s="317">
        <v>-15.402455555555555</v>
      </c>
      <c r="AA12" s="317">
        <v>-5.0098000000000003</v>
      </c>
      <c r="AB12" s="317">
        <v>7.0856611111111105</v>
      </c>
      <c r="AC12" s="317">
        <v>17.001991666666665</v>
      </c>
      <c r="AD12" s="317">
        <v>22.814022222222224</v>
      </c>
      <c r="AE12" s="317">
        <v>22.505680555555557</v>
      </c>
      <c r="AF12" s="317">
        <v>16.224425</v>
      </c>
      <c r="AG12" s="317">
        <v>5.8090416666666664</v>
      </c>
      <c r="AH12" s="317">
        <v>-5.7598250000000002</v>
      </c>
      <c r="AI12" s="317">
        <v>-16.473197222222222</v>
      </c>
      <c r="AJ12" s="317">
        <v>-22.67755277777778</v>
      </c>
    </row>
    <row r="13" spans="1:36">
      <c r="A13" s="266"/>
      <c r="B13" s="299">
        <v>30</v>
      </c>
      <c r="C13" s="300">
        <v>1958714.1262000001</v>
      </c>
      <c r="D13" s="301">
        <v>220.38570000000001</v>
      </c>
      <c r="E13" s="302">
        <v>264.74290000000002</v>
      </c>
      <c r="F13" s="303">
        <v>263.25170000000003</v>
      </c>
      <c r="G13" s="304"/>
      <c r="H13" s="305">
        <v>30</v>
      </c>
      <c r="I13" s="306">
        <v>1958715</v>
      </c>
      <c r="J13" s="307">
        <v>6</v>
      </c>
      <c r="K13" s="307">
        <v>2</v>
      </c>
      <c r="L13" s="308">
        <v>164.11590000000001</v>
      </c>
      <c r="M13" s="309">
        <v>264.29689999999999</v>
      </c>
      <c r="N13" s="310">
        <v>177.0369</v>
      </c>
      <c r="O13" s="311">
        <v>278.50900000000001</v>
      </c>
      <c r="P13" s="312">
        <v>234.4273</v>
      </c>
      <c r="Q13" s="313">
        <v>12.9214</v>
      </c>
      <c r="R13" s="314">
        <v>23.613489000000001</v>
      </c>
      <c r="S13" s="315">
        <v>230.8725</v>
      </c>
      <c r="T13" s="296"/>
      <c r="U13" s="316">
        <v>1100</v>
      </c>
      <c r="V13" s="316">
        <v>2122832</v>
      </c>
      <c r="W13" s="266"/>
      <c r="X13" s="298">
        <v>8</v>
      </c>
      <c r="Y13" s="317">
        <v>-22.279780555555554</v>
      </c>
      <c r="Z13" s="317">
        <v>-15.089122222222223</v>
      </c>
      <c r="AA13" s="317">
        <v>-4.619563888888889</v>
      </c>
      <c r="AB13" s="317">
        <v>7.4592833333333335</v>
      </c>
      <c r="AC13" s="317">
        <v>17.272416666666665</v>
      </c>
      <c r="AD13" s="317">
        <v>22.90261111111111</v>
      </c>
      <c r="AE13" s="317">
        <v>22.390947222222223</v>
      </c>
      <c r="AF13" s="317">
        <v>15.939736111111111</v>
      </c>
      <c r="AG13" s="317">
        <v>5.4329583333333336</v>
      </c>
      <c r="AH13" s="317">
        <v>-6.1409333333333338</v>
      </c>
      <c r="AI13" s="317">
        <v>-16.762788888888888</v>
      </c>
      <c r="AJ13" s="317">
        <v>-22.781341666666666</v>
      </c>
    </row>
    <row r="14" spans="1:36">
      <c r="A14" s="266"/>
      <c r="B14" s="299">
        <v>60</v>
      </c>
      <c r="C14" s="300">
        <v>1969345.1370000001</v>
      </c>
      <c r="D14" s="301">
        <v>101.77970000000001</v>
      </c>
      <c r="E14" s="302">
        <v>198.75389999999999</v>
      </c>
      <c r="F14" s="303">
        <v>301.18029999999999</v>
      </c>
      <c r="G14" s="304"/>
      <c r="H14" s="305">
        <v>60</v>
      </c>
      <c r="I14" s="306">
        <v>1969346</v>
      </c>
      <c r="J14" s="307">
        <v>4</v>
      </c>
      <c r="K14" s="307">
        <v>3</v>
      </c>
      <c r="L14" s="308">
        <v>202.53059999999999</v>
      </c>
      <c r="M14" s="309">
        <v>302.21469999999999</v>
      </c>
      <c r="N14" s="310">
        <v>215.3185</v>
      </c>
      <c r="O14" s="311">
        <v>212.38159999999999</v>
      </c>
      <c r="P14" s="312">
        <v>115.67610000000001</v>
      </c>
      <c r="Q14" s="313">
        <v>12.7883</v>
      </c>
      <c r="R14" s="314">
        <v>23.609783</v>
      </c>
      <c r="S14" s="315">
        <v>269.2867</v>
      </c>
      <c r="T14" s="296"/>
      <c r="U14" s="316">
        <v>1200</v>
      </c>
      <c r="V14" s="316">
        <v>2159357</v>
      </c>
      <c r="W14" s="266"/>
      <c r="X14" s="298">
        <v>9</v>
      </c>
      <c r="Y14" s="317">
        <v>-22.143711111111109</v>
      </c>
      <c r="Z14" s="317">
        <v>-14.771538888888889</v>
      </c>
      <c r="AA14" s="317">
        <v>-4.2283388888888886</v>
      </c>
      <c r="AB14" s="317">
        <v>7.8308027777777776</v>
      </c>
      <c r="AC14" s="317">
        <v>17.538030555555558</v>
      </c>
      <c r="AD14" s="317">
        <v>22.984486111111114</v>
      </c>
      <c r="AE14" s="317">
        <v>22.269772222222223</v>
      </c>
      <c r="AF14" s="317">
        <v>15.65078888888889</v>
      </c>
      <c r="AG14" s="317">
        <v>5.0553555555555549</v>
      </c>
      <c r="AH14" s="317">
        <v>-6.5206999999999997</v>
      </c>
      <c r="AI14" s="317">
        <v>-17.047650000000001</v>
      </c>
      <c r="AJ14" s="317">
        <v>-22.877666666666666</v>
      </c>
    </row>
    <row r="15" spans="1:36">
      <c r="A15" s="266"/>
      <c r="B15" s="299">
        <v>90</v>
      </c>
      <c r="C15" s="300">
        <v>1979976.1479</v>
      </c>
      <c r="D15" s="301">
        <v>343.17340000000002</v>
      </c>
      <c r="E15" s="302">
        <v>132.76669999999999</v>
      </c>
      <c r="F15" s="303">
        <v>339.10890000000001</v>
      </c>
      <c r="G15" s="304"/>
      <c r="H15" s="305">
        <v>90</v>
      </c>
      <c r="I15" s="306">
        <v>1979977</v>
      </c>
      <c r="J15" s="307">
        <v>2</v>
      </c>
      <c r="K15" s="307">
        <v>4</v>
      </c>
      <c r="L15" s="308">
        <v>240.94540000000001</v>
      </c>
      <c r="M15" s="309">
        <v>340.13249999999999</v>
      </c>
      <c r="N15" s="310">
        <v>253.59989999999999</v>
      </c>
      <c r="O15" s="311">
        <v>146.25569999999999</v>
      </c>
      <c r="P15" s="312">
        <v>356.92430000000002</v>
      </c>
      <c r="Q15" s="313">
        <v>12.6548</v>
      </c>
      <c r="R15" s="314">
        <v>23.606074</v>
      </c>
      <c r="S15" s="315">
        <v>307.70089999999999</v>
      </c>
      <c r="T15" s="296"/>
      <c r="U15" s="316">
        <v>1300</v>
      </c>
      <c r="V15" s="316">
        <v>2195882</v>
      </c>
      <c r="W15" s="266"/>
      <c r="X15" s="298">
        <v>10</v>
      </c>
      <c r="Y15" s="317">
        <v>-22.000411111111109</v>
      </c>
      <c r="Z15" s="317">
        <v>-14.449819444444445</v>
      </c>
      <c r="AA15" s="317">
        <v>-3.8362305555555558</v>
      </c>
      <c r="AB15" s="317">
        <v>8.2001277777777766</v>
      </c>
      <c r="AC15" s="317">
        <v>17.798752777777779</v>
      </c>
      <c r="AD15" s="317">
        <v>23.059622222222224</v>
      </c>
      <c r="AE15" s="317">
        <v>22.142205555555556</v>
      </c>
      <c r="AF15" s="317">
        <v>15.357666666666667</v>
      </c>
      <c r="AG15" s="317">
        <v>4.6763194444444451</v>
      </c>
      <c r="AH15" s="317">
        <v>-6.899025</v>
      </c>
      <c r="AI15" s="317">
        <v>-17.327669444444446</v>
      </c>
      <c r="AJ15" s="317">
        <v>-22.966474999999999</v>
      </c>
    </row>
    <row r="16" spans="1:36">
      <c r="A16" s="266"/>
      <c r="B16" s="299">
        <v>120</v>
      </c>
      <c r="C16" s="300">
        <v>1990607.1588000001</v>
      </c>
      <c r="D16" s="301">
        <v>224.5668</v>
      </c>
      <c r="E16" s="302">
        <v>66.781300000000002</v>
      </c>
      <c r="F16" s="303">
        <v>17.037400000000002</v>
      </c>
      <c r="G16" s="304"/>
      <c r="H16" s="305">
        <v>120</v>
      </c>
      <c r="I16" s="306">
        <v>1990608</v>
      </c>
      <c r="J16" s="307">
        <v>0</v>
      </c>
      <c r="K16" s="307">
        <v>0</v>
      </c>
      <c r="L16" s="308">
        <v>279.36020000000002</v>
      </c>
      <c r="M16" s="309">
        <v>18.0502</v>
      </c>
      <c r="N16" s="310">
        <v>291.88099999999997</v>
      </c>
      <c r="O16" s="311">
        <v>80.131100000000004</v>
      </c>
      <c r="P16" s="312">
        <v>238.172</v>
      </c>
      <c r="Q16" s="313">
        <v>12.521100000000001</v>
      </c>
      <c r="R16" s="314">
        <v>23.602361999999999</v>
      </c>
      <c r="S16" s="315">
        <v>346.11509999999998</v>
      </c>
      <c r="T16" s="296"/>
      <c r="U16" s="316">
        <v>1400</v>
      </c>
      <c r="V16" s="316">
        <v>2232407</v>
      </c>
      <c r="W16" s="266"/>
      <c r="X16" s="298">
        <v>11</v>
      </c>
      <c r="Y16" s="317">
        <v>-21.84995</v>
      </c>
      <c r="Z16" s="317">
        <v>-14.124077777777778</v>
      </c>
      <c r="AA16" s="317">
        <v>-3.4433444444444445</v>
      </c>
      <c r="AB16" s="317">
        <v>8.5671583333333334</v>
      </c>
      <c r="AC16" s="317">
        <v>18.054497222222224</v>
      </c>
      <c r="AD16" s="317">
        <v>23.127991666666667</v>
      </c>
      <c r="AE16" s="317">
        <v>22.008297222222222</v>
      </c>
      <c r="AF16" s="317">
        <v>15.060452777777778</v>
      </c>
      <c r="AG16" s="317">
        <v>4.2959444444444443</v>
      </c>
      <c r="AH16" s="317">
        <v>-7.2758055555555554</v>
      </c>
      <c r="AI16" s="317">
        <v>-17.60273888888889</v>
      </c>
      <c r="AJ16" s="317">
        <v>-23.047713888888889</v>
      </c>
    </row>
    <row r="17" spans="1:36">
      <c r="A17" s="266"/>
      <c r="B17" s="299">
        <v>150</v>
      </c>
      <c r="C17" s="300">
        <v>2001238.1698</v>
      </c>
      <c r="D17" s="301">
        <v>105.9599</v>
      </c>
      <c r="E17" s="302">
        <v>0.79779999999999995</v>
      </c>
      <c r="F17" s="303">
        <v>54.966000000000001</v>
      </c>
      <c r="G17" s="304"/>
      <c r="H17" s="305">
        <v>150</v>
      </c>
      <c r="I17" s="306">
        <v>2001239</v>
      </c>
      <c r="J17" s="307">
        <v>5</v>
      </c>
      <c r="K17" s="307">
        <v>1</v>
      </c>
      <c r="L17" s="308">
        <v>317.77510000000001</v>
      </c>
      <c r="M17" s="309">
        <v>55.968000000000004</v>
      </c>
      <c r="N17" s="310">
        <v>330.1619</v>
      </c>
      <c r="O17" s="311">
        <v>14.007999999999999</v>
      </c>
      <c r="P17" s="312">
        <v>119.4191</v>
      </c>
      <c r="Q17" s="313">
        <v>12.3871</v>
      </c>
      <c r="R17" s="314">
        <v>23.598647</v>
      </c>
      <c r="S17" s="315">
        <v>24.529499999999999</v>
      </c>
      <c r="T17" s="296"/>
      <c r="U17" s="316">
        <v>1500</v>
      </c>
      <c r="V17" s="316">
        <v>2268932</v>
      </c>
      <c r="W17" s="266"/>
      <c r="X17" s="298">
        <v>12</v>
      </c>
      <c r="Y17" s="317">
        <v>-21.692397222222223</v>
      </c>
      <c r="Z17" s="317">
        <v>-13.794433333333334</v>
      </c>
      <c r="AA17" s="317">
        <v>-3.0497861111111111</v>
      </c>
      <c r="AB17" s="317">
        <v>8.9318027777777775</v>
      </c>
      <c r="AC17" s="317">
        <v>18.305186111111112</v>
      </c>
      <c r="AD17" s="317">
        <v>23.189566666666668</v>
      </c>
      <c r="AE17" s="317">
        <v>21.868097222222222</v>
      </c>
      <c r="AF17" s="317">
        <v>14.759238888888889</v>
      </c>
      <c r="AG17" s="317">
        <v>3.9143194444444442</v>
      </c>
      <c r="AH17" s="317">
        <v>-7.6509361111111112</v>
      </c>
      <c r="AI17" s="317">
        <v>-17.872744444444447</v>
      </c>
      <c r="AJ17" s="317">
        <v>-23.121344444444446</v>
      </c>
    </row>
    <row r="18" spans="1:36">
      <c r="A18" s="266"/>
      <c r="B18" s="299">
        <v>180</v>
      </c>
      <c r="C18" s="300">
        <v>2011869.1806999999</v>
      </c>
      <c r="D18" s="301">
        <v>347.35270000000003</v>
      </c>
      <c r="E18" s="302">
        <v>294.81610000000001</v>
      </c>
      <c r="F18" s="303">
        <v>92.894499999999994</v>
      </c>
      <c r="G18" s="304"/>
      <c r="H18" s="305">
        <v>180</v>
      </c>
      <c r="I18" s="306">
        <v>2011870</v>
      </c>
      <c r="J18" s="307">
        <v>3</v>
      </c>
      <c r="K18" s="307">
        <v>2</v>
      </c>
      <c r="L18" s="308">
        <v>356.19009999999997</v>
      </c>
      <c r="M18" s="309">
        <v>93.885599999999997</v>
      </c>
      <c r="N18" s="310">
        <v>8.4425000000000008</v>
      </c>
      <c r="O18" s="311">
        <v>307.88619999999997</v>
      </c>
      <c r="P18" s="312">
        <v>0.66559999999999997</v>
      </c>
      <c r="Q18" s="313">
        <v>12.252800000000001</v>
      </c>
      <c r="R18" s="314">
        <v>23.594927999999999</v>
      </c>
      <c r="S18" s="315">
        <v>62.943899999999999</v>
      </c>
      <c r="T18" s="296"/>
      <c r="U18" s="316">
        <v>1600</v>
      </c>
      <c r="V18" s="316">
        <v>2305447</v>
      </c>
      <c r="W18" s="266"/>
      <c r="X18" s="298">
        <v>13</v>
      </c>
      <c r="Y18" s="317">
        <v>-21.527833333333334</v>
      </c>
      <c r="Z18" s="317">
        <v>-13.460999999999999</v>
      </c>
      <c r="AA18" s="317">
        <v>-2.6556611111111108</v>
      </c>
      <c r="AB18" s="317">
        <v>9.293966666666666</v>
      </c>
      <c r="AC18" s="317">
        <v>18.55073888888889</v>
      </c>
      <c r="AD18" s="317">
        <v>23.244330555555557</v>
      </c>
      <c r="AE18" s="317">
        <v>21.721661111111111</v>
      </c>
      <c r="AF18" s="317">
        <v>14.454102777777777</v>
      </c>
      <c r="AG18" s="317">
        <v>3.531538888888889</v>
      </c>
      <c r="AH18" s="317">
        <v>-8.0243111111111123</v>
      </c>
      <c r="AI18" s="317">
        <v>-18.137580555555555</v>
      </c>
      <c r="AJ18" s="317">
        <v>-23.187322222222221</v>
      </c>
    </row>
    <row r="19" spans="1:36">
      <c r="A19" s="266"/>
      <c r="B19" s="299">
        <v>210</v>
      </c>
      <c r="C19" s="300">
        <v>2022500.1917000001</v>
      </c>
      <c r="D19" s="301">
        <v>228.74529999999999</v>
      </c>
      <c r="E19" s="302">
        <v>228.83619999999999</v>
      </c>
      <c r="F19" s="303">
        <v>130.82310000000001</v>
      </c>
      <c r="G19" s="304"/>
      <c r="H19" s="305">
        <v>210</v>
      </c>
      <c r="I19" s="306">
        <v>2022501</v>
      </c>
      <c r="J19" s="307">
        <v>1</v>
      </c>
      <c r="K19" s="307">
        <v>3</v>
      </c>
      <c r="L19" s="308">
        <v>34.604999999999997</v>
      </c>
      <c r="M19" s="309">
        <v>131.80330000000001</v>
      </c>
      <c r="N19" s="310">
        <v>46.722900000000003</v>
      </c>
      <c r="O19" s="311">
        <v>241.76599999999999</v>
      </c>
      <c r="P19" s="312">
        <v>241.91149999999999</v>
      </c>
      <c r="Q19" s="313">
        <v>12.1182</v>
      </c>
      <c r="R19" s="314">
        <v>23.591207000000001</v>
      </c>
      <c r="S19" s="315">
        <v>101.3583</v>
      </c>
      <c r="T19" s="296"/>
      <c r="U19" s="316">
        <v>1700</v>
      </c>
      <c r="V19" s="316">
        <v>2341971</v>
      </c>
      <c r="W19" s="266"/>
      <c r="X19" s="298">
        <v>14</v>
      </c>
      <c r="Y19" s="317">
        <v>-21.356333333333335</v>
      </c>
      <c r="Z19" s="317">
        <v>-13.123894444444446</v>
      </c>
      <c r="AA19" s="317">
        <v>-2.2610694444444444</v>
      </c>
      <c r="AB19" s="317">
        <v>9.6535583333333346</v>
      </c>
      <c r="AC19" s="317">
        <v>18.79107777777778</v>
      </c>
      <c r="AD19" s="317">
        <v>23.292261111111113</v>
      </c>
      <c r="AE19" s="317">
        <v>21.569044444444444</v>
      </c>
      <c r="AF19" s="317">
        <v>14.145138888888889</v>
      </c>
      <c r="AG19" s="317">
        <v>3.1476916666666668</v>
      </c>
      <c r="AH19" s="317">
        <v>-8.395827777777777</v>
      </c>
      <c r="AI19" s="317">
        <v>-18.397136111111109</v>
      </c>
      <c r="AJ19" s="317">
        <v>-23.245608333333333</v>
      </c>
    </row>
    <row r="20" spans="1:36">
      <c r="A20" s="266"/>
      <c r="B20" s="299">
        <v>240</v>
      </c>
      <c r="C20" s="300">
        <v>2033131.2027</v>
      </c>
      <c r="D20" s="301">
        <v>110.13760000000001</v>
      </c>
      <c r="E20" s="302">
        <v>162.85820000000001</v>
      </c>
      <c r="F20" s="303">
        <v>168.7517</v>
      </c>
      <c r="G20" s="304"/>
      <c r="H20" s="305">
        <v>240</v>
      </c>
      <c r="I20" s="306">
        <v>2033132</v>
      </c>
      <c r="J20" s="307">
        <v>6</v>
      </c>
      <c r="K20" s="307">
        <v>4</v>
      </c>
      <c r="L20" s="308">
        <v>73.020099999999999</v>
      </c>
      <c r="M20" s="309">
        <v>169.721</v>
      </c>
      <c r="N20" s="310">
        <v>85.003100000000003</v>
      </c>
      <c r="O20" s="311">
        <v>175.64709999999999</v>
      </c>
      <c r="P20" s="312">
        <v>123.1568</v>
      </c>
      <c r="Q20" s="313">
        <v>11.9833</v>
      </c>
      <c r="R20" s="314">
        <v>23.587482000000001</v>
      </c>
      <c r="S20" s="315">
        <v>139.77289999999999</v>
      </c>
      <c r="T20" s="296"/>
      <c r="U20" s="316">
        <v>1800</v>
      </c>
      <c r="V20" s="316">
        <v>2378495</v>
      </c>
      <c r="W20" s="266"/>
      <c r="X20" s="298">
        <v>15</v>
      </c>
      <c r="Y20" s="317">
        <v>-21.17797777777778</v>
      </c>
      <c r="Z20" s="317">
        <v>-12.783233333333333</v>
      </c>
      <c r="AA20" s="317">
        <v>-1.8661166666666666</v>
      </c>
      <c r="AB20" s="317">
        <v>10.010480555555555</v>
      </c>
      <c r="AC20" s="317">
        <v>19.026127777777777</v>
      </c>
      <c r="AD20" s="317">
        <v>23.333341666666666</v>
      </c>
      <c r="AE20" s="317">
        <v>21.410302777777776</v>
      </c>
      <c r="AF20" s="317">
        <v>13.832427777777777</v>
      </c>
      <c r="AG20" s="317">
        <v>2.7628694444444446</v>
      </c>
      <c r="AH20" s="317">
        <v>-8.7653805555555557</v>
      </c>
      <c r="AI20" s="317">
        <v>-18.651302777777776</v>
      </c>
      <c r="AJ20" s="317">
        <v>-23.296172222222225</v>
      </c>
    </row>
    <row r="21" spans="1:36">
      <c r="A21" s="266"/>
      <c r="B21" s="299">
        <v>270</v>
      </c>
      <c r="C21" s="300">
        <v>2043762.2138</v>
      </c>
      <c r="D21" s="301">
        <v>351.52960000000002</v>
      </c>
      <c r="E21" s="302">
        <v>96.882099999999994</v>
      </c>
      <c r="F21" s="303">
        <v>206.68020000000001</v>
      </c>
      <c r="G21" s="304"/>
      <c r="H21" s="305">
        <v>270</v>
      </c>
      <c r="I21" s="306">
        <v>2043763</v>
      </c>
      <c r="J21" s="307">
        <v>4</v>
      </c>
      <c r="K21" s="307">
        <v>0</v>
      </c>
      <c r="L21" s="308">
        <v>111.43519999999999</v>
      </c>
      <c r="M21" s="309">
        <v>207.6386</v>
      </c>
      <c r="N21" s="310">
        <v>123.283</v>
      </c>
      <c r="O21" s="311">
        <v>109.52970000000001</v>
      </c>
      <c r="P21" s="312">
        <v>4.4016000000000002</v>
      </c>
      <c r="Q21" s="313">
        <v>11.848100000000001</v>
      </c>
      <c r="R21" s="314">
        <v>23.583753999999999</v>
      </c>
      <c r="S21" s="315">
        <v>178.1874</v>
      </c>
      <c r="T21" s="296"/>
      <c r="U21" s="316">
        <v>1900</v>
      </c>
      <c r="V21" s="316">
        <v>2415019</v>
      </c>
      <c r="W21" s="266"/>
      <c r="X21" s="298">
        <v>16</v>
      </c>
      <c r="Y21" s="317">
        <v>-20.992850000000001</v>
      </c>
      <c r="Z21" s="317">
        <v>-12.439127777777777</v>
      </c>
      <c r="AA21" s="317">
        <v>-1.4709055555555557</v>
      </c>
      <c r="AB21" s="317">
        <v>10.364644444444444</v>
      </c>
      <c r="AC21" s="317">
        <v>19.255805555555554</v>
      </c>
      <c r="AD21" s="317">
        <v>23.367561111111112</v>
      </c>
      <c r="AE21" s="317">
        <v>21.245497222222223</v>
      </c>
      <c r="AF21" s="317">
        <v>13.516061111111112</v>
      </c>
      <c r="AG21" s="317">
        <v>2.3771638888888891</v>
      </c>
      <c r="AH21" s="317">
        <v>-9.13286388888889</v>
      </c>
      <c r="AI21" s="317">
        <v>-18.899972222222221</v>
      </c>
      <c r="AJ21" s="317">
        <v>-23.338980555555555</v>
      </c>
    </row>
    <row r="22" spans="1:36">
      <c r="A22" s="266"/>
      <c r="B22" s="299">
        <v>300</v>
      </c>
      <c r="C22" s="300">
        <v>2054393.2249</v>
      </c>
      <c r="D22" s="301">
        <v>232.92140000000001</v>
      </c>
      <c r="E22" s="302">
        <v>30.907800000000002</v>
      </c>
      <c r="F22" s="303">
        <v>244.6087</v>
      </c>
      <c r="G22" s="304"/>
      <c r="H22" s="305">
        <v>300</v>
      </c>
      <c r="I22" s="306">
        <v>2054394</v>
      </c>
      <c r="J22" s="307">
        <v>2</v>
      </c>
      <c r="K22" s="307">
        <v>1</v>
      </c>
      <c r="L22" s="308">
        <v>149.8503</v>
      </c>
      <c r="M22" s="309">
        <v>245.55609999999999</v>
      </c>
      <c r="N22" s="310">
        <v>161.56270000000001</v>
      </c>
      <c r="O22" s="311">
        <v>43.413699999999999</v>
      </c>
      <c r="P22" s="312">
        <v>245.64580000000001</v>
      </c>
      <c r="Q22" s="313">
        <v>11.7126</v>
      </c>
      <c r="R22" s="314">
        <v>23.580024000000002</v>
      </c>
      <c r="S22" s="315">
        <v>216.60210000000001</v>
      </c>
      <c r="T22" s="296"/>
      <c r="U22" s="316">
        <v>2000</v>
      </c>
      <c r="V22" s="316">
        <v>2451544</v>
      </c>
      <c r="W22" s="266"/>
      <c r="X22" s="298">
        <v>17</v>
      </c>
      <c r="Y22" s="317">
        <v>-20.80103888888889</v>
      </c>
      <c r="Z22" s="317">
        <v>-12.091697222222223</v>
      </c>
      <c r="AA22" s="317">
        <v>-1.0755416666666666</v>
      </c>
      <c r="AB22" s="317">
        <v>10.715952777777778</v>
      </c>
      <c r="AC22" s="317">
        <v>19.480041666666665</v>
      </c>
      <c r="AD22" s="317">
        <v>23.394908333333333</v>
      </c>
      <c r="AE22" s="317">
        <v>21.074691666666666</v>
      </c>
      <c r="AF22" s="317">
        <v>13.196125</v>
      </c>
      <c r="AG22" s="317">
        <v>1.9906694444444446</v>
      </c>
      <c r="AH22" s="317">
        <v>-9.4981694444444429</v>
      </c>
      <c r="AI22" s="317">
        <v>-19.143038888888888</v>
      </c>
      <c r="AJ22" s="317">
        <v>-23.374011111111113</v>
      </c>
    </row>
    <row r="23" spans="1:36">
      <c r="A23" s="266"/>
      <c r="B23" s="299">
        <v>330</v>
      </c>
      <c r="C23" s="300">
        <v>2065024.2359</v>
      </c>
      <c r="D23" s="301">
        <v>114.3128</v>
      </c>
      <c r="E23" s="302">
        <v>324.93529999999998</v>
      </c>
      <c r="F23" s="303">
        <v>282.53730000000002</v>
      </c>
      <c r="G23" s="304"/>
      <c r="H23" s="305">
        <v>330</v>
      </c>
      <c r="I23" s="306">
        <v>2065025</v>
      </c>
      <c r="J23" s="307">
        <v>0</v>
      </c>
      <c r="K23" s="307">
        <v>2</v>
      </c>
      <c r="L23" s="308">
        <v>188.2655</v>
      </c>
      <c r="M23" s="309">
        <v>283.47370000000001</v>
      </c>
      <c r="N23" s="310">
        <v>199.84209999999999</v>
      </c>
      <c r="O23" s="311">
        <v>337.29910000000001</v>
      </c>
      <c r="P23" s="312">
        <v>126.88939999999999</v>
      </c>
      <c r="Q23" s="313">
        <v>11.5769</v>
      </c>
      <c r="R23" s="314">
        <v>23.57629</v>
      </c>
      <c r="S23" s="315">
        <v>255.01679999999999</v>
      </c>
      <c r="T23" s="296"/>
      <c r="U23" s="316">
        <v>2100</v>
      </c>
      <c r="V23" s="316">
        <v>2488068</v>
      </c>
      <c r="W23" s="266"/>
      <c r="X23" s="298">
        <v>18</v>
      </c>
      <c r="Y23" s="317">
        <v>-20.60262777777778</v>
      </c>
      <c r="Z23" s="317">
        <v>-11.741055555555555</v>
      </c>
      <c r="AA23" s="317">
        <v>-0.68012222222222218</v>
      </c>
      <c r="AB23" s="317">
        <v>11.06431388888889</v>
      </c>
      <c r="AC23" s="317">
        <v>19.698761111111111</v>
      </c>
      <c r="AD23" s="317">
        <v>23.415372222222221</v>
      </c>
      <c r="AE23" s="317">
        <v>20.897944444444445</v>
      </c>
      <c r="AF23" s="317">
        <v>12.872702777777778</v>
      </c>
      <c r="AG23" s="317">
        <v>1.6034805555555556</v>
      </c>
      <c r="AH23" s="317">
        <v>-9.8611916666666666</v>
      </c>
      <c r="AI23" s="317">
        <v>-19.380397222222221</v>
      </c>
      <c r="AJ23" s="317">
        <v>-23.40123611111111</v>
      </c>
    </row>
    <row r="24" spans="1:36">
      <c r="A24" s="266"/>
      <c r="B24" s="299">
        <v>360</v>
      </c>
      <c r="C24" s="300">
        <v>2075655.2471</v>
      </c>
      <c r="D24" s="301">
        <v>355.70400000000001</v>
      </c>
      <c r="E24" s="302">
        <v>258.96469999999999</v>
      </c>
      <c r="F24" s="303">
        <v>320.4658</v>
      </c>
      <c r="G24" s="304"/>
      <c r="H24" s="305">
        <v>360</v>
      </c>
      <c r="I24" s="306">
        <v>2075656</v>
      </c>
      <c r="J24" s="307">
        <v>5</v>
      </c>
      <c r="K24" s="307">
        <v>3</v>
      </c>
      <c r="L24" s="308">
        <v>226.6808</v>
      </c>
      <c r="M24" s="309">
        <v>321.39120000000003</v>
      </c>
      <c r="N24" s="310">
        <v>238.12129999999999</v>
      </c>
      <c r="O24" s="311">
        <v>271.18599999999998</v>
      </c>
      <c r="P24" s="312">
        <v>8.1325000000000003</v>
      </c>
      <c r="Q24" s="313">
        <v>11.440799999999999</v>
      </c>
      <c r="R24" s="314">
        <v>23.572554</v>
      </c>
      <c r="S24" s="315">
        <v>293.4316</v>
      </c>
      <c r="T24" s="296"/>
      <c r="U24" s="316">
        <v>2200</v>
      </c>
      <c r="V24" s="316">
        <v>2524592</v>
      </c>
      <c r="W24" s="266"/>
      <c r="X24" s="298">
        <v>19</v>
      </c>
      <c r="Y24" s="317">
        <v>-20.397713888888887</v>
      </c>
      <c r="Z24" s="317">
        <v>-11.387319444444444</v>
      </c>
      <c r="AA24" s="317">
        <v>-0.28475277777777774</v>
      </c>
      <c r="AB24" s="317">
        <v>11.409636111111112</v>
      </c>
      <c r="AC24" s="317">
        <v>19.911888888888889</v>
      </c>
      <c r="AD24" s="317">
        <v>23.428952777777781</v>
      </c>
      <c r="AE24" s="317">
        <v>20.71532222222222</v>
      </c>
      <c r="AF24" s="317">
        <v>12.545888888888889</v>
      </c>
      <c r="AG24" s="317">
        <v>1.2156833333333332</v>
      </c>
      <c r="AH24" s="317">
        <v>-10.221822222222222</v>
      </c>
      <c r="AI24" s="317">
        <v>-19.611944444444447</v>
      </c>
      <c r="AJ24" s="317">
        <v>-23.420647222222222</v>
      </c>
    </row>
    <row r="25" spans="1:36">
      <c r="A25" s="266"/>
      <c r="B25" s="299">
        <v>390</v>
      </c>
      <c r="C25" s="300">
        <v>2086286.2582</v>
      </c>
      <c r="D25" s="301">
        <v>237.0949</v>
      </c>
      <c r="E25" s="302">
        <v>192.99590000000001</v>
      </c>
      <c r="F25" s="303">
        <v>358.39429999999999</v>
      </c>
      <c r="G25" s="304"/>
      <c r="H25" s="305">
        <v>390</v>
      </c>
      <c r="I25" s="306">
        <v>2086287</v>
      </c>
      <c r="J25" s="307">
        <v>3</v>
      </c>
      <c r="K25" s="307">
        <v>4</v>
      </c>
      <c r="L25" s="308">
        <v>265.096</v>
      </c>
      <c r="M25" s="309">
        <v>359.30869999999999</v>
      </c>
      <c r="N25" s="310">
        <v>276.40030000000002</v>
      </c>
      <c r="O25" s="311">
        <v>205.07429999999999</v>
      </c>
      <c r="P25" s="312">
        <v>249.375</v>
      </c>
      <c r="Q25" s="313">
        <v>11.304500000000001</v>
      </c>
      <c r="R25" s="314">
        <v>23.568816000000002</v>
      </c>
      <c r="S25" s="315">
        <v>331.84649999999999</v>
      </c>
      <c r="T25" s="296"/>
      <c r="U25" s="316">
        <v>2300</v>
      </c>
      <c r="V25" s="316">
        <v>2561116</v>
      </c>
      <c r="W25" s="266"/>
      <c r="X25" s="298">
        <v>20</v>
      </c>
      <c r="Y25" s="317">
        <v>-20.186388888888889</v>
      </c>
      <c r="Z25" s="317">
        <v>-11.030600000000002</v>
      </c>
      <c r="AA25" s="317">
        <v>0.11046944444444445</v>
      </c>
      <c r="AB25" s="317">
        <v>11.751827777777779</v>
      </c>
      <c r="AC25" s="317">
        <v>20.119355555555558</v>
      </c>
      <c r="AD25" s="317">
        <v>23.435638888888889</v>
      </c>
      <c r="AE25" s="317">
        <v>20.526888888888887</v>
      </c>
      <c r="AF25" s="317">
        <v>12.215766666666665</v>
      </c>
      <c r="AG25" s="317">
        <v>0.82737777777777777</v>
      </c>
      <c r="AH25" s="317">
        <v>-10.579955555555555</v>
      </c>
      <c r="AI25" s="317">
        <v>-19.837574999999998</v>
      </c>
      <c r="AJ25" s="317">
        <v>-23.432222222222222</v>
      </c>
    </row>
    <row r="26" spans="1:36">
      <c r="A26" s="266"/>
      <c r="B26" s="299">
        <v>420</v>
      </c>
      <c r="C26" s="300">
        <v>2096917.2694000001</v>
      </c>
      <c r="D26" s="301">
        <v>118.4855</v>
      </c>
      <c r="E26" s="302">
        <v>127.0291</v>
      </c>
      <c r="F26" s="303">
        <v>36.322899999999997</v>
      </c>
      <c r="G26" s="304"/>
      <c r="H26" s="305">
        <v>420</v>
      </c>
      <c r="I26" s="306">
        <v>2096918</v>
      </c>
      <c r="J26" s="307">
        <v>1</v>
      </c>
      <c r="K26" s="307">
        <v>0</v>
      </c>
      <c r="L26" s="308">
        <v>303.51139999999998</v>
      </c>
      <c r="M26" s="309">
        <v>37.226199999999999</v>
      </c>
      <c r="N26" s="310">
        <v>314.67899999999997</v>
      </c>
      <c r="O26" s="311">
        <v>138.9641</v>
      </c>
      <c r="P26" s="312">
        <v>130.61689999999999</v>
      </c>
      <c r="Q26" s="313">
        <v>11.167899999999999</v>
      </c>
      <c r="R26" s="314">
        <v>23.565073999999999</v>
      </c>
      <c r="S26" s="315">
        <v>10.2614</v>
      </c>
      <c r="T26" s="296"/>
      <c r="U26" s="316">
        <v>2400</v>
      </c>
      <c r="V26" s="316">
        <v>2597641</v>
      </c>
      <c r="W26" s="266"/>
      <c r="X26" s="298">
        <v>21</v>
      </c>
      <c r="Y26" s="317">
        <v>-19.968744444444443</v>
      </c>
      <c r="Z26" s="317">
        <v>-10.671016666666667</v>
      </c>
      <c r="AA26" s="317">
        <v>0.50543888888888888</v>
      </c>
      <c r="AB26" s="317">
        <v>12.090794444444445</v>
      </c>
      <c r="AC26" s="317">
        <v>20.321091666666668</v>
      </c>
      <c r="AD26" s="317">
        <v>23.435438888888889</v>
      </c>
      <c r="AE26" s="317">
        <v>20.332716666666666</v>
      </c>
      <c r="AF26" s="317">
        <v>11.882425000000001</v>
      </c>
      <c r="AG26" s="317">
        <v>0.43865277777777778</v>
      </c>
      <c r="AH26" s="317">
        <v>-10.935480555555555</v>
      </c>
      <c r="AI26" s="317">
        <v>-20.057191666666668</v>
      </c>
      <c r="AJ26" s="317">
        <v>-23.435955555555555</v>
      </c>
    </row>
    <row r="27" spans="1:36">
      <c r="A27" s="266"/>
      <c r="B27" s="299">
        <v>450</v>
      </c>
      <c r="C27" s="300">
        <v>2107548.2806000002</v>
      </c>
      <c r="D27" s="301">
        <v>359.8759</v>
      </c>
      <c r="E27" s="302">
        <v>61.064</v>
      </c>
      <c r="F27" s="303">
        <v>74.251400000000004</v>
      </c>
      <c r="G27" s="304"/>
      <c r="H27" s="305">
        <v>450</v>
      </c>
      <c r="I27" s="306">
        <v>2107549</v>
      </c>
      <c r="J27" s="307">
        <v>6</v>
      </c>
      <c r="K27" s="307">
        <v>1</v>
      </c>
      <c r="L27" s="308">
        <v>341.92680000000001</v>
      </c>
      <c r="M27" s="309">
        <v>75.143699999999995</v>
      </c>
      <c r="N27" s="310">
        <v>352.95749999999998</v>
      </c>
      <c r="O27" s="311">
        <v>72.8553</v>
      </c>
      <c r="P27" s="312">
        <v>11.8582</v>
      </c>
      <c r="Q27" s="313">
        <v>11.031000000000001</v>
      </c>
      <c r="R27" s="314">
        <v>23.561330000000002</v>
      </c>
      <c r="S27" s="315">
        <v>48.676400000000001</v>
      </c>
      <c r="T27" s="296"/>
      <c r="U27" s="316">
        <v>2500</v>
      </c>
      <c r="V27" s="316">
        <v>2634165</v>
      </c>
      <c r="W27" s="266"/>
      <c r="X27" s="298">
        <v>22</v>
      </c>
      <c r="Y27" s="317">
        <v>-19.744880555555557</v>
      </c>
      <c r="Z27" s="317">
        <v>-10.308677777777778</v>
      </c>
      <c r="AA27" s="317">
        <v>0.9000583333333334</v>
      </c>
      <c r="AB27" s="317">
        <v>12.426444444444444</v>
      </c>
      <c r="AC27" s="317">
        <v>20.517025</v>
      </c>
      <c r="AD27" s="317">
        <v>23.428350000000002</v>
      </c>
      <c r="AE27" s="317">
        <v>20.132869444444445</v>
      </c>
      <c r="AF27" s="317">
        <v>11.545949999999999</v>
      </c>
      <c r="AG27" s="317">
        <v>4.9605555555555556E-2</v>
      </c>
      <c r="AH27" s="317">
        <v>-11.288286111111111</v>
      </c>
      <c r="AI27" s="317">
        <v>-20.270691666666664</v>
      </c>
      <c r="AJ27" s="317">
        <v>-23.431841666666667</v>
      </c>
    </row>
    <row r="28" spans="1:36">
      <c r="A28" s="266"/>
      <c r="B28" s="299">
        <v>480</v>
      </c>
      <c r="C28" s="300">
        <v>2118179.2917999998</v>
      </c>
      <c r="D28" s="301">
        <v>241.26589999999999</v>
      </c>
      <c r="E28" s="302">
        <v>355.10090000000002</v>
      </c>
      <c r="F28" s="303">
        <v>112.1799</v>
      </c>
      <c r="G28" s="304"/>
      <c r="H28" s="305">
        <v>480</v>
      </c>
      <c r="I28" s="306">
        <v>2118180</v>
      </c>
      <c r="J28" s="307">
        <v>4</v>
      </c>
      <c r="K28" s="307">
        <v>2</v>
      </c>
      <c r="L28" s="308">
        <v>20.342199999999998</v>
      </c>
      <c r="M28" s="309">
        <v>113.0611</v>
      </c>
      <c r="N28" s="310">
        <v>31.235800000000001</v>
      </c>
      <c r="O28" s="311">
        <v>6.7480000000000002</v>
      </c>
      <c r="P28" s="312">
        <v>253.09889999999999</v>
      </c>
      <c r="Q28" s="313">
        <v>10.893800000000001</v>
      </c>
      <c r="R28" s="314">
        <v>23.557583999999999</v>
      </c>
      <c r="S28" s="315">
        <v>87.091399999999993</v>
      </c>
      <c r="T28" s="296"/>
      <c r="U28" s="316">
        <v>2600</v>
      </c>
      <c r="V28" s="316">
        <v>2670689</v>
      </c>
      <c r="W28" s="266"/>
      <c r="X28" s="298">
        <v>23</v>
      </c>
      <c r="Y28" s="317">
        <v>-19.514894444444444</v>
      </c>
      <c r="Z28" s="317">
        <v>-9.9437027777777782</v>
      </c>
      <c r="AA28" s="317">
        <v>1.2942277777777778</v>
      </c>
      <c r="AB28" s="317">
        <v>12.758688888888889</v>
      </c>
      <c r="AC28" s="317">
        <v>20.707094444444444</v>
      </c>
      <c r="AD28" s="317">
        <v>23.414380555555553</v>
      </c>
      <c r="AE28" s="317">
        <v>19.927419444444446</v>
      </c>
      <c r="AF28" s="317">
        <v>11.20643611111111</v>
      </c>
      <c r="AG28" s="317">
        <v>-0.33967222222222221</v>
      </c>
      <c r="AH28" s="317">
        <v>-11.638269444444443</v>
      </c>
      <c r="AI28" s="317">
        <v>-20.477980555555554</v>
      </c>
      <c r="AJ28" s="317">
        <v>-23.419883333333335</v>
      </c>
    </row>
    <row r="29" spans="1:36">
      <c r="A29" s="266"/>
      <c r="B29" s="299">
        <v>510</v>
      </c>
      <c r="C29" s="300">
        <v>2128810.3029999998</v>
      </c>
      <c r="D29" s="301">
        <v>122.6557</v>
      </c>
      <c r="E29" s="302">
        <v>289.13959999999997</v>
      </c>
      <c r="F29" s="303">
        <v>150.10839999999999</v>
      </c>
      <c r="G29" s="304"/>
      <c r="H29" s="305">
        <v>510</v>
      </c>
      <c r="I29" s="306">
        <v>2128811</v>
      </c>
      <c r="J29" s="307">
        <v>2</v>
      </c>
      <c r="K29" s="307">
        <v>3</v>
      </c>
      <c r="L29" s="308">
        <v>58.7577</v>
      </c>
      <c r="M29" s="309">
        <v>150.9785</v>
      </c>
      <c r="N29" s="310">
        <v>69.513800000000003</v>
      </c>
      <c r="O29" s="311">
        <v>300.64210000000003</v>
      </c>
      <c r="P29" s="312">
        <v>134.3391</v>
      </c>
      <c r="Q29" s="313">
        <v>10.7563</v>
      </c>
      <c r="R29" s="314">
        <v>23.553834999999999</v>
      </c>
      <c r="S29" s="315">
        <v>125.50660000000001</v>
      </c>
      <c r="T29" s="296"/>
      <c r="U29" s="316">
        <v>2700</v>
      </c>
      <c r="V29" s="316">
        <v>2707213</v>
      </c>
      <c r="W29" s="266"/>
      <c r="X29" s="298">
        <v>24</v>
      </c>
      <c r="Y29" s="317">
        <v>-19.278891666666667</v>
      </c>
      <c r="Z29" s="317">
        <v>-9.5762</v>
      </c>
      <c r="AA29" s="317">
        <v>1.6878444444444445</v>
      </c>
      <c r="AB29" s="317">
        <v>13.087433333333333</v>
      </c>
      <c r="AC29" s="317">
        <v>20.891230555555556</v>
      </c>
      <c r="AD29" s="317">
        <v>23.393538888888887</v>
      </c>
      <c r="AE29" s="317">
        <v>19.716436111111111</v>
      </c>
      <c r="AF29" s="317">
        <v>10.863966666666666</v>
      </c>
      <c r="AG29" s="317">
        <v>-0.72908333333333331</v>
      </c>
      <c r="AH29" s="317">
        <v>-11.985313888888887</v>
      </c>
      <c r="AI29" s="317">
        <v>-20.678955555555557</v>
      </c>
      <c r="AJ29" s="317">
        <v>-23.400077777777778</v>
      </c>
    </row>
    <row r="30" spans="1:36">
      <c r="A30" s="266"/>
      <c r="B30" s="299">
        <v>540</v>
      </c>
      <c r="C30" s="300">
        <v>2139441.3143000002</v>
      </c>
      <c r="D30" s="301">
        <v>4.0452000000000004</v>
      </c>
      <c r="E30" s="302">
        <v>223.18010000000001</v>
      </c>
      <c r="F30" s="303">
        <v>188.03700000000001</v>
      </c>
      <c r="G30" s="304"/>
      <c r="H30" s="305">
        <v>540</v>
      </c>
      <c r="I30" s="306">
        <v>2139442</v>
      </c>
      <c r="J30" s="307">
        <v>0</v>
      </c>
      <c r="K30" s="307">
        <v>4</v>
      </c>
      <c r="L30" s="308">
        <v>97.173299999999998</v>
      </c>
      <c r="M30" s="309">
        <v>188.89590000000001</v>
      </c>
      <c r="N30" s="310">
        <v>107.7916</v>
      </c>
      <c r="O30" s="311">
        <v>234.5377</v>
      </c>
      <c r="P30" s="312">
        <v>15.5787</v>
      </c>
      <c r="Q30" s="313">
        <v>10.618499999999999</v>
      </c>
      <c r="R30" s="314">
        <v>23.550083999999998</v>
      </c>
      <c r="S30" s="315">
        <v>163.92179999999999</v>
      </c>
      <c r="T30" s="296"/>
      <c r="U30" s="316">
        <v>2800</v>
      </c>
      <c r="V30" s="316">
        <v>2743738</v>
      </c>
      <c r="W30" s="266"/>
      <c r="X30" s="298">
        <v>25</v>
      </c>
      <c r="Y30" s="317">
        <v>-19.036969444444445</v>
      </c>
      <c r="Z30" s="317">
        <v>-9.2062861111111101</v>
      </c>
      <c r="AA30" s="317">
        <v>2.0808111111111112</v>
      </c>
      <c r="AB30" s="317">
        <v>13.412588888888889</v>
      </c>
      <c r="AC30" s="317">
        <v>21.069372222222221</v>
      </c>
      <c r="AD30" s="317">
        <v>23.365833333333335</v>
      </c>
      <c r="AE30" s="317">
        <v>19.499994444444447</v>
      </c>
      <c r="AF30" s="317">
        <v>10.518630555555557</v>
      </c>
      <c r="AG30" s="317">
        <v>-1.1185333333333334</v>
      </c>
      <c r="AH30" s="317">
        <v>-12.32931111111111</v>
      </c>
      <c r="AI30" s="317">
        <v>-20.873527777777777</v>
      </c>
      <c r="AJ30" s="317">
        <v>-23.372433333333333</v>
      </c>
    </row>
    <row r="31" spans="1:36">
      <c r="A31" s="266"/>
      <c r="B31" s="299">
        <v>570</v>
      </c>
      <c r="C31" s="300">
        <v>2150072.3256000001</v>
      </c>
      <c r="D31" s="301">
        <v>245.43440000000001</v>
      </c>
      <c r="E31" s="302">
        <v>157.2226</v>
      </c>
      <c r="F31" s="303">
        <v>225.96549999999999</v>
      </c>
      <c r="G31" s="304"/>
      <c r="H31" s="305">
        <v>570</v>
      </c>
      <c r="I31" s="306">
        <v>2150073</v>
      </c>
      <c r="J31" s="307">
        <v>5</v>
      </c>
      <c r="K31" s="307">
        <v>0</v>
      </c>
      <c r="L31" s="308">
        <v>135.5889</v>
      </c>
      <c r="M31" s="309">
        <v>226.81319999999999</v>
      </c>
      <c r="N31" s="310">
        <v>146.0692</v>
      </c>
      <c r="O31" s="311">
        <v>168.43469999999999</v>
      </c>
      <c r="P31" s="312">
        <v>256.8177</v>
      </c>
      <c r="Q31" s="313">
        <v>10.480499999999999</v>
      </c>
      <c r="R31" s="314">
        <v>23.546330999999999</v>
      </c>
      <c r="S31" s="315">
        <v>202.33699999999999</v>
      </c>
      <c r="T31" s="296"/>
      <c r="U31" s="318">
        <v>2900</v>
      </c>
      <c r="V31" s="318">
        <v>2780262</v>
      </c>
      <c r="W31" s="266"/>
      <c r="X31" s="298">
        <v>26</v>
      </c>
      <c r="Y31" s="317">
        <v>-18.789233333333335</v>
      </c>
      <c r="Z31" s="317">
        <v>-8.8340694444444452</v>
      </c>
      <c r="AA31" s="317">
        <v>2.4730305555555558</v>
      </c>
      <c r="AB31" s="317">
        <v>13.734066666666665</v>
      </c>
      <c r="AC31" s="317">
        <v>21.241455555555557</v>
      </c>
      <c r="AD31" s="317">
        <v>23.331280555555555</v>
      </c>
      <c r="AE31" s="317">
        <v>19.278169444444444</v>
      </c>
      <c r="AF31" s="317">
        <v>10.170519444444444</v>
      </c>
      <c r="AG31" s="317">
        <v>-1.5079277777777778</v>
      </c>
      <c r="AH31" s="317">
        <v>-12.670152777777778</v>
      </c>
      <c r="AI31" s="317">
        <v>-21.061605555555555</v>
      </c>
      <c r="AJ31" s="317">
        <v>-23.336966666666665</v>
      </c>
    </row>
    <row r="32" spans="1:36">
      <c r="A32" s="266"/>
      <c r="B32" s="299">
        <v>600</v>
      </c>
      <c r="C32" s="300">
        <v>2160703.3369</v>
      </c>
      <c r="D32" s="301">
        <v>126.8233</v>
      </c>
      <c r="E32" s="302">
        <v>91.266900000000007</v>
      </c>
      <c r="F32" s="303">
        <v>263.89400000000001</v>
      </c>
      <c r="G32" s="304"/>
      <c r="H32" s="305">
        <v>600</v>
      </c>
      <c r="I32" s="306">
        <v>2160704</v>
      </c>
      <c r="J32" s="307">
        <v>3</v>
      </c>
      <c r="K32" s="307">
        <v>1</v>
      </c>
      <c r="L32" s="308">
        <v>174.00460000000001</v>
      </c>
      <c r="M32" s="309">
        <v>264.73059999999998</v>
      </c>
      <c r="N32" s="310">
        <v>184.34649999999999</v>
      </c>
      <c r="O32" s="311">
        <v>102.33320000000001</v>
      </c>
      <c r="P32" s="312">
        <v>138.05619999999999</v>
      </c>
      <c r="Q32" s="313">
        <v>10.3422</v>
      </c>
      <c r="R32" s="314">
        <v>23.542576</v>
      </c>
      <c r="S32" s="315">
        <v>240.75229999999999</v>
      </c>
      <c r="T32" s="296"/>
      <c r="U32" s="266"/>
      <c r="V32" s="266"/>
      <c r="W32" s="266"/>
      <c r="X32" s="298">
        <v>27</v>
      </c>
      <c r="Y32" s="317">
        <v>-18.535788888888892</v>
      </c>
      <c r="Z32" s="317">
        <v>-8.4596666666666653</v>
      </c>
      <c r="AA32" s="317">
        <v>2.8644000000000003</v>
      </c>
      <c r="AB32" s="317">
        <v>14.051772222222223</v>
      </c>
      <c r="AC32" s="317">
        <v>21.407419444444443</v>
      </c>
      <c r="AD32" s="317">
        <v>23.289894444444446</v>
      </c>
      <c r="AE32" s="317">
        <v>19.051033333333333</v>
      </c>
      <c r="AF32" s="317">
        <v>9.8197194444444449</v>
      </c>
      <c r="AG32" s="317">
        <v>-1.8971722222222223</v>
      </c>
      <c r="AH32" s="317">
        <v>-13.007722222222222</v>
      </c>
      <c r="AI32" s="317">
        <v>-21.243091666666668</v>
      </c>
      <c r="AJ32" s="317">
        <v>-23.293688888888891</v>
      </c>
    </row>
    <row r="33" spans="1:36">
      <c r="A33" s="266"/>
      <c r="B33" s="299">
        <v>630</v>
      </c>
      <c r="C33" s="300">
        <v>2171334.3481999999</v>
      </c>
      <c r="D33" s="301">
        <v>8.2119999999999997</v>
      </c>
      <c r="E33" s="302">
        <v>25.313099999999999</v>
      </c>
      <c r="F33" s="303">
        <v>301.82249999999999</v>
      </c>
      <c r="G33" s="304"/>
      <c r="H33" s="305">
        <v>630</v>
      </c>
      <c r="I33" s="306">
        <v>2171335</v>
      </c>
      <c r="J33" s="307">
        <v>1</v>
      </c>
      <c r="K33" s="307">
        <v>2</v>
      </c>
      <c r="L33" s="308">
        <v>212.4203</v>
      </c>
      <c r="M33" s="309">
        <v>302.64780000000002</v>
      </c>
      <c r="N33" s="310">
        <v>222.62360000000001</v>
      </c>
      <c r="O33" s="311">
        <v>36.233199999999997</v>
      </c>
      <c r="P33" s="312">
        <v>19.2941</v>
      </c>
      <c r="Q33" s="313">
        <v>10.2036</v>
      </c>
      <c r="R33" s="314">
        <v>23.538817999999999</v>
      </c>
      <c r="S33" s="315">
        <v>279.16770000000002</v>
      </c>
      <c r="T33" s="296"/>
      <c r="U33" s="266"/>
      <c r="V33" s="266"/>
      <c r="W33" s="266"/>
      <c r="X33" s="298">
        <v>28</v>
      </c>
      <c r="Y33" s="317">
        <v>-18.276741666666666</v>
      </c>
      <c r="Z33" s="317">
        <v>-8.083186111111111</v>
      </c>
      <c r="AA33" s="317">
        <v>3.2548249999999999</v>
      </c>
      <c r="AB33" s="317">
        <v>14.365619444444444</v>
      </c>
      <c r="AC33" s="317">
        <v>21.56721111111111</v>
      </c>
      <c r="AD33" s="317">
        <v>23.241694444444445</v>
      </c>
      <c r="AE33" s="317">
        <v>18.818661111111112</v>
      </c>
      <c r="AF33" s="317">
        <v>9.4663194444444443</v>
      </c>
      <c r="AG33" s="317">
        <v>-2.2861666666666665</v>
      </c>
      <c r="AH33" s="317">
        <v>-13.34191388888889</v>
      </c>
      <c r="AI33" s="317">
        <v>-21.417905555555556</v>
      </c>
      <c r="AJ33" s="317">
        <v>-23.242619444444447</v>
      </c>
    </row>
    <row r="34" spans="1:36">
      <c r="A34" s="266"/>
      <c r="B34" s="299">
        <v>660</v>
      </c>
      <c r="C34" s="300">
        <v>2181965.3596000001</v>
      </c>
      <c r="D34" s="301">
        <v>249.6003</v>
      </c>
      <c r="E34" s="302">
        <v>319.3612</v>
      </c>
      <c r="F34" s="303">
        <v>339.75099999999998</v>
      </c>
      <c r="G34" s="304"/>
      <c r="H34" s="305">
        <v>660</v>
      </c>
      <c r="I34" s="306">
        <v>2181966</v>
      </c>
      <c r="J34" s="307">
        <v>6</v>
      </c>
      <c r="K34" s="307">
        <v>3</v>
      </c>
      <c r="L34" s="308">
        <v>250.83600000000001</v>
      </c>
      <c r="M34" s="309">
        <v>340.56509999999997</v>
      </c>
      <c r="N34" s="310">
        <v>260.90050000000002</v>
      </c>
      <c r="O34" s="311">
        <v>330.13459999999998</v>
      </c>
      <c r="P34" s="312">
        <v>260.53140000000002</v>
      </c>
      <c r="Q34" s="313">
        <v>10.0647</v>
      </c>
      <c r="R34" s="314">
        <v>23.535059</v>
      </c>
      <c r="S34" s="315">
        <v>317.58319999999998</v>
      </c>
      <c r="T34" s="296"/>
      <c r="U34" s="266"/>
      <c r="V34" s="266"/>
      <c r="W34" s="266"/>
      <c r="X34" s="298">
        <v>29</v>
      </c>
      <c r="Y34" s="317">
        <v>-18.012205555555557</v>
      </c>
      <c r="Z34" s="317">
        <v>-7.704741666666667</v>
      </c>
      <c r="AA34" s="317">
        <v>3.6442083333333333</v>
      </c>
      <c r="AB34" s="317">
        <v>14.675516666666667</v>
      </c>
      <c r="AC34" s="317">
        <v>21.720766666666666</v>
      </c>
      <c r="AD34" s="317">
        <v>23.186702777777779</v>
      </c>
      <c r="AE34" s="317">
        <v>18.581133333333334</v>
      </c>
      <c r="AF34" s="317">
        <v>9.1104111111111106</v>
      </c>
      <c r="AG34" s="317">
        <v>-2.6748166666666666</v>
      </c>
      <c r="AH34" s="317">
        <v>-13.672613888888888</v>
      </c>
      <c r="AI34" s="317">
        <v>-21.58595833333333</v>
      </c>
      <c r="AJ34" s="317">
        <v>-23.183786111111111</v>
      </c>
    </row>
    <row r="35" spans="1:36">
      <c r="A35" s="266"/>
      <c r="B35" s="299">
        <v>690</v>
      </c>
      <c r="C35" s="300">
        <v>2192596.3709999998</v>
      </c>
      <c r="D35" s="301">
        <v>130.98840000000001</v>
      </c>
      <c r="E35" s="302">
        <v>253.4111</v>
      </c>
      <c r="F35" s="303">
        <v>17.679500000000001</v>
      </c>
      <c r="G35" s="304"/>
      <c r="H35" s="305">
        <v>690</v>
      </c>
      <c r="I35" s="306">
        <v>2192597</v>
      </c>
      <c r="J35" s="307">
        <v>4</v>
      </c>
      <c r="K35" s="307">
        <v>4</v>
      </c>
      <c r="L35" s="308">
        <v>289.2518</v>
      </c>
      <c r="M35" s="309">
        <v>18.482399999999998</v>
      </c>
      <c r="N35" s="310">
        <v>299.1771</v>
      </c>
      <c r="O35" s="311">
        <v>264.03739999999999</v>
      </c>
      <c r="P35" s="312">
        <v>141.7681</v>
      </c>
      <c r="Q35" s="313">
        <v>9.9254999999999995</v>
      </c>
      <c r="R35" s="314">
        <v>23.531298</v>
      </c>
      <c r="S35" s="315">
        <v>355.99869999999999</v>
      </c>
      <c r="T35" s="296"/>
      <c r="U35" s="266"/>
      <c r="V35" s="266"/>
      <c r="W35" s="266"/>
      <c r="X35" s="298">
        <v>30</v>
      </c>
      <c r="Y35" s="317">
        <v>-17.742280555555556</v>
      </c>
      <c r="Z35" s="317"/>
      <c r="AA35" s="317">
        <v>4.0324472222222223</v>
      </c>
      <c r="AB35" s="317">
        <v>14.981377777777778</v>
      </c>
      <c r="AC35" s="317">
        <v>21.868036111111113</v>
      </c>
      <c r="AD35" s="317">
        <v>23.124941666666668</v>
      </c>
      <c r="AE35" s="317">
        <v>18.338527777777777</v>
      </c>
      <c r="AF35" s="317">
        <v>8.7520805555555548</v>
      </c>
      <c r="AG35" s="317">
        <v>-3.0630249999999997</v>
      </c>
      <c r="AH35" s="317">
        <v>-13.999705555555554</v>
      </c>
      <c r="AI35" s="317">
        <v>-21.747166666666669</v>
      </c>
      <c r="AJ35" s="317">
        <v>-23.117216666666668</v>
      </c>
    </row>
    <row r="36" spans="1:36">
      <c r="A36" s="266"/>
      <c r="B36" s="299">
        <v>720</v>
      </c>
      <c r="C36" s="300">
        <v>2203227.3824</v>
      </c>
      <c r="D36" s="301">
        <v>12.376200000000001</v>
      </c>
      <c r="E36" s="302">
        <v>187.46299999999999</v>
      </c>
      <c r="F36" s="303">
        <v>55.607999999999997</v>
      </c>
      <c r="G36" s="304"/>
      <c r="H36" s="305">
        <v>720</v>
      </c>
      <c r="I36" s="306">
        <v>2203228</v>
      </c>
      <c r="J36" s="307">
        <v>2</v>
      </c>
      <c r="K36" s="307">
        <v>0</v>
      </c>
      <c r="L36" s="308">
        <v>327.66770000000002</v>
      </c>
      <c r="M36" s="309">
        <v>56.3996</v>
      </c>
      <c r="N36" s="310">
        <v>337.45350000000002</v>
      </c>
      <c r="O36" s="311">
        <v>197.9418</v>
      </c>
      <c r="P36" s="312">
        <v>23.004200000000001</v>
      </c>
      <c r="Q36" s="313">
        <v>9.7859999999999996</v>
      </c>
      <c r="R36" s="314">
        <v>23.527535</v>
      </c>
      <c r="S36" s="315">
        <v>34.414299999999997</v>
      </c>
      <c r="T36" s="296"/>
      <c r="U36" s="266"/>
      <c r="V36" s="266"/>
      <c r="W36" s="266"/>
      <c r="X36" s="298">
        <v>31</v>
      </c>
      <c r="Y36" s="317">
        <v>-17.467083333333331</v>
      </c>
      <c r="Z36" s="317"/>
      <c r="AA36" s="317">
        <v>4.4194500000000003</v>
      </c>
      <c r="AB36" s="317"/>
      <c r="AC36" s="317">
        <v>22.008966666666666</v>
      </c>
      <c r="AD36" s="317"/>
      <c r="AE36" s="317">
        <v>18.090919444444442</v>
      </c>
      <c r="AF36" s="317">
        <v>8.3914194444444448</v>
      </c>
      <c r="AG36" s="317"/>
      <c r="AH36" s="317">
        <v>-14.323083333333333</v>
      </c>
      <c r="AI36" s="317"/>
      <c r="AJ36" s="317">
        <v>-23.042938888888891</v>
      </c>
    </row>
    <row r="37" spans="1:36">
      <c r="A37" s="266"/>
      <c r="B37" s="299">
        <v>750</v>
      </c>
      <c r="C37" s="300">
        <v>2213858.3938000002</v>
      </c>
      <c r="D37" s="301">
        <v>253.7637</v>
      </c>
      <c r="E37" s="302">
        <v>121.5167</v>
      </c>
      <c r="F37" s="303">
        <v>93.536500000000004</v>
      </c>
      <c r="G37" s="304"/>
      <c r="H37" s="305">
        <v>750</v>
      </c>
      <c r="I37" s="306">
        <v>2213859</v>
      </c>
      <c r="J37" s="307">
        <v>0</v>
      </c>
      <c r="K37" s="307">
        <v>1</v>
      </c>
      <c r="L37" s="308">
        <v>6.0835999999999997</v>
      </c>
      <c r="M37" s="309">
        <v>94.316800000000001</v>
      </c>
      <c r="N37" s="310">
        <v>15.729699999999999</v>
      </c>
      <c r="O37" s="311">
        <v>131.8476</v>
      </c>
      <c r="P37" s="312">
        <v>264.2398</v>
      </c>
      <c r="Q37" s="313">
        <v>9.6463000000000001</v>
      </c>
      <c r="R37" s="314">
        <v>23.523769999999999</v>
      </c>
      <c r="S37" s="315">
        <v>72.829899999999995</v>
      </c>
      <c r="T37" s="296"/>
      <c r="U37" s="266"/>
      <c r="V37" s="266"/>
      <c r="W37" s="266"/>
      <c r="X37" s="319"/>
      <c r="Y37" s="319"/>
      <c r="Z37" s="319"/>
      <c r="AA37" s="319"/>
      <c r="AB37" s="319"/>
      <c r="AC37" s="319"/>
      <c r="AD37" s="319"/>
      <c r="AE37" s="319"/>
      <c r="AF37" s="319"/>
      <c r="AG37" s="319"/>
      <c r="AH37" s="319"/>
      <c r="AI37" s="319"/>
      <c r="AJ37" s="319"/>
    </row>
    <row r="38" spans="1:36">
      <c r="A38" s="266"/>
      <c r="B38" s="299">
        <v>780</v>
      </c>
      <c r="C38" s="300">
        <v>2224489.4053000002</v>
      </c>
      <c r="D38" s="301">
        <v>135.15090000000001</v>
      </c>
      <c r="E38" s="302">
        <v>55.572299999999998</v>
      </c>
      <c r="F38" s="303">
        <v>131.465</v>
      </c>
      <c r="G38" s="304"/>
      <c r="H38" s="305">
        <v>780</v>
      </c>
      <c r="I38" s="306">
        <v>2224490</v>
      </c>
      <c r="J38" s="307">
        <v>5</v>
      </c>
      <c r="K38" s="307">
        <v>2</v>
      </c>
      <c r="L38" s="308">
        <v>44.499600000000001</v>
      </c>
      <c r="M38" s="309">
        <v>132.23390000000001</v>
      </c>
      <c r="N38" s="310">
        <v>54.005600000000001</v>
      </c>
      <c r="O38" s="311">
        <v>65.754900000000006</v>
      </c>
      <c r="P38" s="312">
        <v>145.47479999999999</v>
      </c>
      <c r="Q38" s="313">
        <v>9.5062999999999995</v>
      </c>
      <c r="R38" s="314">
        <v>23.520002999999999</v>
      </c>
      <c r="S38" s="315">
        <v>111.2456</v>
      </c>
      <c r="T38" s="296"/>
      <c r="U38" s="266"/>
      <c r="V38" s="266"/>
      <c r="W38" s="266"/>
      <c r="X38" s="789" t="s">
        <v>62</v>
      </c>
      <c r="Y38" s="789"/>
      <c r="Z38" s="789"/>
      <c r="AA38" s="789"/>
      <c r="AB38" s="789"/>
      <c r="AC38" s="789"/>
      <c r="AD38" s="789"/>
      <c r="AE38" s="789"/>
      <c r="AF38" s="789"/>
      <c r="AG38" s="789"/>
      <c r="AH38" s="789"/>
      <c r="AI38" s="789"/>
      <c r="AJ38" s="789"/>
    </row>
    <row r="39" spans="1:36">
      <c r="A39" s="266"/>
      <c r="B39" s="299">
        <v>810</v>
      </c>
      <c r="C39" s="300">
        <v>2235120.4167999998</v>
      </c>
      <c r="D39" s="301">
        <v>16.5379</v>
      </c>
      <c r="E39" s="302">
        <v>349.62979999999999</v>
      </c>
      <c r="F39" s="303">
        <v>169.39349999999999</v>
      </c>
      <c r="G39" s="304"/>
      <c r="H39" s="305">
        <v>810</v>
      </c>
      <c r="I39" s="306">
        <v>2235121</v>
      </c>
      <c r="J39" s="307">
        <v>3</v>
      </c>
      <c r="K39" s="307">
        <v>3</v>
      </c>
      <c r="L39" s="308">
        <v>82.915599999999998</v>
      </c>
      <c r="M39" s="309">
        <v>170.15110000000001</v>
      </c>
      <c r="N39" s="310">
        <v>92.281300000000002</v>
      </c>
      <c r="O39" s="311">
        <v>359.66370000000001</v>
      </c>
      <c r="P39" s="312">
        <v>26.709199999999999</v>
      </c>
      <c r="Q39" s="313">
        <v>9.3658999999999999</v>
      </c>
      <c r="R39" s="314">
        <v>23.516235000000002</v>
      </c>
      <c r="S39" s="315">
        <v>149.66139999999999</v>
      </c>
      <c r="T39" s="296"/>
      <c r="U39" s="266"/>
      <c r="V39" s="266"/>
      <c r="W39" s="266"/>
      <c r="X39" s="320" t="s">
        <v>49</v>
      </c>
      <c r="Y39" s="320" t="s">
        <v>50</v>
      </c>
      <c r="Z39" s="320" t="s">
        <v>51</v>
      </c>
      <c r="AA39" s="320" t="s">
        <v>52</v>
      </c>
      <c r="AB39" s="320" t="s">
        <v>53</v>
      </c>
      <c r="AC39" s="320" t="s">
        <v>54</v>
      </c>
      <c r="AD39" s="320" t="s">
        <v>55</v>
      </c>
      <c r="AE39" s="320" t="s">
        <v>56</v>
      </c>
      <c r="AF39" s="320" t="s">
        <v>57</v>
      </c>
      <c r="AG39" s="320" t="s">
        <v>58</v>
      </c>
      <c r="AH39" s="320" t="s">
        <v>59</v>
      </c>
      <c r="AI39" s="320" t="s">
        <v>60</v>
      </c>
      <c r="AJ39" s="320" t="s">
        <v>61</v>
      </c>
    </row>
    <row r="40" spans="1:36">
      <c r="A40" s="266"/>
      <c r="B40" s="299">
        <v>840</v>
      </c>
      <c r="C40" s="300">
        <v>2245751.4282999998</v>
      </c>
      <c r="D40" s="301">
        <v>257.92450000000002</v>
      </c>
      <c r="E40" s="302">
        <v>283.68920000000003</v>
      </c>
      <c r="F40" s="303">
        <v>207.3219</v>
      </c>
      <c r="G40" s="304"/>
      <c r="H40" s="305">
        <v>840</v>
      </c>
      <c r="I40" s="306">
        <v>2245752</v>
      </c>
      <c r="J40" s="307">
        <v>1</v>
      </c>
      <c r="K40" s="307">
        <v>4</v>
      </c>
      <c r="L40" s="308">
        <v>121.33159999999999</v>
      </c>
      <c r="M40" s="309">
        <v>208.06819999999999</v>
      </c>
      <c r="N40" s="310">
        <v>130.55680000000001</v>
      </c>
      <c r="O40" s="311">
        <v>293.57400000000001</v>
      </c>
      <c r="P40" s="312">
        <v>267.94310000000002</v>
      </c>
      <c r="Q40" s="313">
        <v>9.2254000000000005</v>
      </c>
      <c r="R40" s="314">
        <v>23.512464999999999</v>
      </c>
      <c r="S40" s="315">
        <v>188.0772</v>
      </c>
      <c r="T40" s="296"/>
      <c r="U40" s="266"/>
      <c r="V40" s="266"/>
      <c r="W40" s="266"/>
      <c r="X40" s="320">
        <v>1</v>
      </c>
      <c r="Y40" s="321">
        <v>-5.4577777777777781E-2</v>
      </c>
      <c r="Z40" s="321">
        <v>-0.22446666666666668</v>
      </c>
      <c r="AA40" s="321">
        <v>-0.20363333333333333</v>
      </c>
      <c r="AB40" s="321">
        <v>-6.1902777777777779E-2</v>
      </c>
      <c r="AC40" s="321">
        <v>4.9794444444444447E-2</v>
      </c>
      <c r="AD40" s="321">
        <v>3.5652777777777776E-2</v>
      </c>
      <c r="AE40" s="321">
        <v>-6.5147222222222231E-2</v>
      </c>
      <c r="AF40" s="321">
        <v>-0.10441944444444445</v>
      </c>
      <c r="AG40" s="321">
        <v>3.0055555555555556E-3</v>
      </c>
      <c r="AH40" s="321">
        <v>0.17536388888888887</v>
      </c>
      <c r="AI40" s="321">
        <v>0.27439722222222224</v>
      </c>
      <c r="AJ40" s="321">
        <v>0.18088611111111111</v>
      </c>
    </row>
    <row r="41" spans="1:36">
      <c r="A41" s="266"/>
      <c r="B41" s="299">
        <v>870</v>
      </c>
      <c r="C41" s="300">
        <v>2256382.4397999998</v>
      </c>
      <c r="D41" s="301">
        <v>139.3109</v>
      </c>
      <c r="E41" s="302">
        <v>217.75040000000001</v>
      </c>
      <c r="F41" s="303">
        <v>245.25040000000001</v>
      </c>
      <c r="G41" s="304"/>
      <c r="H41" s="305">
        <v>870</v>
      </c>
      <c r="I41" s="306">
        <v>2256383</v>
      </c>
      <c r="J41" s="307">
        <v>6</v>
      </c>
      <c r="K41" s="307">
        <v>0</v>
      </c>
      <c r="L41" s="308">
        <v>159.74780000000001</v>
      </c>
      <c r="M41" s="309">
        <v>245.9853</v>
      </c>
      <c r="N41" s="310">
        <v>168.8321</v>
      </c>
      <c r="O41" s="311">
        <v>227.48570000000001</v>
      </c>
      <c r="P41" s="312">
        <v>149.1763</v>
      </c>
      <c r="Q41" s="313">
        <v>9.0845000000000002</v>
      </c>
      <c r="R41" s="314">
        <v>23.508693999999998</v>
      </c>
      <c r="S41" s="315">
        <v>226.4932</v>
      </c>
      <c r="T41" s="296"/>
      <c r="U41" s="266"/>
      <c r="V41" s="266"/>
      <c r="W41" s="266"/>
      <c r="X41" s="320">
        <v>2</v>
      </c>
      <c r="Y41" s="321">
        <v>-6.2430555555555559E-2</v>
      </c>
      <c r="Z41" s="321">
        <v>-0.22667777777777778</v>
      </c>
      <c r="AA41" s="321">
        <v>-0.20025000000000001</v>
      </c>
      <c r="AB41" s="321">
        <v>-5.6983333333333337E-2</v>
      </c>
      <c r="AC41" s="321">
        <v>5.1638888888888894E-2</v>
      </c>
      <c r="AD41" s="321">
        <v>3.2991666666666669E-2</v>
      </c>
      <c r="AE41" s="321">
        <v>-6.5052777777777779E-2</v>
      </c>
      <c r="AF41" s="321">
        <v>-0.10320833333333333</v>
      </c>
      <c r="AG41" s="321">
        <v>8.3749999999999988E-3</v>
      </c>
      <c r="AH41" s="321">
        <v>0.18065555555555554</v>
      </c>
      <c r="AI41" s="321">
        <v>0.27460555555555555</v>
      </c>
      <c r="AJ41" s="321">
        <v>0.17447777777777776</v>
      </c>
    </row>
    <row r="42" spans="1:36">
      <c r="A42" s="266"/>
      <c r="B42" s="299">
        <v>900</v>
      </c>
      <c r="C42" s="300">
        <v>2267013.4514000001</v>
      </c>
      <c r="D42" s="301">
        <v>20.696999999999999</v>
      </c>
      <c r="E42" s="302">
        <v>151.81360000000001</v>
      </c>
      <c r="F42" s="303">
        <v>283.1789</v>
      </c>
      <c r="G42" s="304"/>
      <c r="H42" s="305">
        <v>900</v>
      </c>
      <c r="I42" s="306">
        <v>2267014</v>
      </c>
      <c r="J42" s="307">
        <v>4</v>
      </c>
      <c r="K42" s="307">
        <v>1</v>
      </c>
      <c r="L42" s="308">
        <v>198.16390000000001</v>
      </c>
      <c r="M42" s="309">
        <v>283.90230000000003</v>
      </c>
      <c r="N42" s="310">
        <v>207.1071</v>
      </c>
      <c r="O42" s="311">
        <v>161.3989</v>
      </c>
      <c r="P42" s="312">
        <v>30.408999999999999</v>
      </c>
      <c r="Q42" s="313">
        <v>8.9433000000000007</v>
      </c>
      <c r="R42" s="314">
        <v>23.504921</v>
      </c>
      <c r="S42" s="315">
        <v>264.90910000000002</v>
      </c>
      <c r="T42" s="296"/>
      <c r="U42" s="266"/>
      <c r="V42" s="266"/>
      <c r="W42" s="266"/>
      <c r="X42" s="320">
        <v>3</v>
      </c>
      <c r="Y42" s="321">
        <v>-7.0188888888888884E-2</v>
      </c>
      <c r="Z42" s="321">
        <v>-0.22865833333333335</v>
      </c>
      <c r="AA42" s="321">
        <v>-0.19673611111111111</v>
      </c>
      <c r="AB42" s="321">
        <v>-5.2105555555555558E-2</v>
      </c>
      <c r="AC42" s="321">
        <v>5.3327777777777779E-2</v>
      </c>
      <c r="AD42" s="321">
        <v>3.0227777777777777E-2</v>
      </c>
      <c r="AE42" s="321">
        <v>-7.1333333333333332E-2</v>
      </c>
      <c r="AF42" s="321">
        <v>-0.10182777777777778</v>
      </c>
      <c r="AG42" s="321">
        <v>1.3822222222222222E-2</v>
      </c>
      <c r="AH42" s="321">
        <v>0.18585555555555555</v>
      </c>
      <c r="AI42" s="321">
        <v>0.27458611111111109</v>
      </c>
      <c r="AJ42" s="321">
        <v>0.16789722222222223</v>
      </c>
    </row>
    <row r="43" spans="1:36">
      <c r="A43" s="266"/>
      <c r="B43" s="299">
        <v>930</v>
      </c>
      <c r="C43" s="300">
        <v>2277644.463</v>
      </c>
      <c r="D43" s="301">
        <v>262.08280000000002</v>
      </c>
      <c r="E43" s="302">
        <v>85.878699999999995</v>
      </c>
      <c r="F43" s="303">
        <v>321.10739999999998</v>
      </c>
      <c r="G43" s="304"/>
      <c r="H43" s="305">
        <v>930</v>
      </c>
      <c r="I43" s="306">
        <v>2277645</v>
      </c>
      <c r="J43" s="307">
        <v>2</v>
      </c>
      <c r="K43" s="307">
        <v>2</v>
      </c>
      <c r="L43" s="308">
        <v>236.58009999999999</v>
      </c>
      <c r="M43" s="309">
        <v>321.81939999999997</v>
      </c>
      <c r="N43" s="310">
        <v>245.3819</v>
      </c>
      <c r="O43" s="311">
        <v>95.313599999999994</v>
      </c>
      <c r="P43" s="312">
        <v>271.64109999999999</v>
      </c>
      <c r="Q43" s="313">
        <v>8.8018999999999998</v>
      </c>
      <c r="R43" s="314">
        <v>23.501147</v>
      </c>
      <c r="S43" s="315">
        <v>303.3252</v>
      </c>
      <c r="T43" s="296"/>
      <c r="U43" s="266"/>
      <c r="V43" s="266"/>
      <c r="W43" s="266"/>
      <c r="X43" s="320">
        <v>4</v>
      </c>
      <c r="Y43" s="321">
        <v>-7.784722222222222E-2</v>
      </c>
      <c r="Z43" s="321">
        <v>-0.23041666666666669</v>
      </c>
      <c r="AA43" s="321">
        <v>-0.1930972222222222</v>
      </c>
      <c r="AB43" s="321">
        <v>-4.7269444444444447E-2</v>
      </c>
      <c r="AC43" s="321">
        <v>5.4866666666666668E-2</v>
      </c>
      <c r="AD43" s="321">
        <v>2.7366666666666668E-2</v>
      </c>
      <c r="AE43" s="321">
        <v>-7.4300000000000005E-2</v>
      </c>
      <c r="AF43" s="321">
        <v>-0.10028055555555557</v>
      </c>
      <c r="AG43" s="321">
        <v>1.9338888888888888E-2</v>
      </c>
      <c r="AH43" s="321">
        <v>0.19096111111111111</v>
      </c>
      <c r="AI43" s="321">
        <v>0.27433888888888891</v>
      </c>
      <c r="AJ43" s="321">
        <v>0.16115833333333332</v>
      </c>
    </row>
    <row r="44" spans="1:36">
      <c r="A44" s="266"/>
      <c r="B44" s="299">
        <v>960</v>
      </c>
      <c r="C44" s="300">
        <v>2288275.4745999998</v>
      </c>
      <c r="D44" s="301">
        <v>143.4683</v>
      </c>
      <c r="E44" s="302">
        <v>19.945699999999999</v>
      </c>
      <c r="F44" s="303">
        <v>359.03579999999999</v>
      </c>
      <c r="G44" s="304"/>
      <c r="H44" s="305">
        <v>960</v>
      </c>
      <c r="I44" s="306">
        <v>2288276</v>
      </c>
      <c r="J44" s="307">
        <v>0</v>
      </c>
      <c r="K44" s="307">
        <v>3</v>
      </c>
      <c r="L44" s="308">
        <v>274.99639999999999</v>
      </c>
      <c r="M44" s="309">
        <v>359.7364</v>
      </c>
      <c r="N44" s="310">
        <v>283.65640000000002</v>
      </c>
      <c r="O44" s="311">
        <v>29.229800000000001</v>
      </c>
      <c r="P44" s="312">
        <v>152.87270000000001</v>
      </c>
      <c r="Q44" s="313">
        <v>8.6601999999999997</v>
      </c>
      <c r="R44" s="314">
        <v>23.497371999999999</v>
      </c>
      <c r="S44" s="315">
        <v>341.74130000000002</v>
      </c>
      <c r="T44" s="296"/>
      <c r="U44" s="266"/>
      <c r="V44" s="266"/>
      <c r="W44" s="266"/>
      <c r="X44" s="320">
        <v>5</v>
      </c>
      <c r="Y44" s="321">
        <v>-8.5391666666666657E-2</v>
      </c>
      <c r="Z44" s="321">
        <v>-0.23194722222222222</v>
      </c>
      <c r="AA44" s="321">
        <v>-0.18933333333333333</v>
      </c>
      <c r="AB44" s="321">
        <v>-4.2486111111111113E-2</v>
      </c>
      <c r="AC44" s="321">
        <v>5.6247222222222226E-2</v>
      </c>
      <c r="AD44" s="321">
        <v>2.4413888888888888E-2</v>
      </c>
      <c r="AE44" s="321">
        <v>-7.7174999999999994E-2</v>
      </c>
      <c r="AF44" s="321">
        <v>-9.8566666666666664E-2</v>
      </c>
      <c r="AG44" s="321">
        <v>2.4919444444444445E-2</v>
      </c>
      <c r="AH44" s="321">
        <v>0.19596666666666665</v>
      </c>
      <c r="AI44" s="321">
        <v>0.27386388888888891</v>
      </c>
      <c r="AJ44" s="321">
        <v>0.1542611111111111</v>
      </c>
    </row>
    <row r="45" spans="1:36">
      <c r="A45" s="266"/>
      <c r="B45" s="299">
        <v>990</v>
      </c>
      <c r="C45" s="300">
        <v>2298906.4862000002</v>
      </c>
      <c r="D45" s="301">
        <v>24.8535</v>
      </c>
      <c r="E45" s="302">
        <v>314.0145</v>
      </c>
      <c r="F45" s="303">
        <v>36.964300000000001</v>
      </c>
      <c r="G45" s="304"/>
      <c r="H45" s="305">
        <v>990</v>
      </c>
      <c r="I45" s="306">
        <v>2298907</v>
      </c>
      <c r="J45" s="307">
        <v>5</v>
      </c>
      <c r="K45" s="307">
        <v>4</v>
      </c>
      <c r="L45" s="308">
        <v>313.41269999999997</v>
      </c>
      <c r="M45" s="309">
        <v>37.653399999999998</v>
      </c>
      <c r="N45" s="310">
        <v>321.9307</v>
      </c>
      <c r="O45" s="311">
        <v>323.14749999999998</v>
      </c>
      <c r="P45" s="312">
        <v>34.103700000000003</v>
      </c>
      <c r="Q45" s="313">
        <v>8.5182000000000002</v>
      </c>
      <c r="R45" s="314">
        <v>23.493596</v>
      </c>
      <c r="S45" s="315">
        <v>20.157499999999999</v>
      </c>
      <c r="T45" s="296"/>
      <c r="U45" s="266"/>
      <c r="V45" s="266"/>
      <c r="W45" s="266"/>
      <c r="X45" s="320">
        <v>6</v>
      </c>
      <c r="Y45" s="321">
        <v>-9.2819444444444441E-2</v>
      </c>
      <c r="Z45" s="321">
        <v>-0.23325555555555555</v>
      </c>
      <c r="AA45" s="321">
        <v>-0.18545277777777777</v>
      </c>
      <c r="AB45" s="321">
        <v>-3.7755555555555556E-2</v>
      </c>
      <c r="AC45" s="321">
        <v>5.7472222222222223E-2</v>
      </c>
      <c r="AD45" s="321">
        <v>2.1374999999999998E-2</v>
      </c>
      <c r="AE45" s="321">
        <v>-7.9949999999999993E-2</v>
      </c>
      <c r="AF45" s="321">
        <v>-9.668888888888888E-2</v>
      </c>
      <c r="AG45" s="321">
        <v>3.0561111111111112E-2</v>
      </c>
      <c r="AH45" s="321">
        <v>0.20086666666666667</v>
      </c>
      <c r="AI45" s="321">
        <v>0.27315555555555554</v>
      </c>
      <c r="AJ45" s="321">
        <v>0.14721388888888889</v>
      </c>
    </row>
    <row r="46" spans="1:36">
      <c r="A46" s="266"/>
      <c r="B46" s="299">
        <v>1020</v>
      </c>
      <c r="C46" s="300">
        <v>2309537.4978999998</v>
      </c>
      <c r="D46" s="301">
        <v>266.23840000000001</v>
      </c>
      <c r="E46" s="302">
        <v>248.08529999999999</v>
      </c>
      <c r="F46" s="303">
        <v>74.892799999999994</v>
      </c>
      <c r="G46" s="304"/>
      <c r="H46" s="305">
        <v>1020</v>
      </c>
      <c r="I46" s="306">
        <v>2309538</v>
      </c>
      <c r="J46" s="307">
        <v>3</v>
      </c>
      <c r="K46" s="307">
        <v>0</v>
      </c>
      <c r="L46" s="308">
        <v>351.82909999999998</v>
      </c>
      <c r="M46" s="309">
        <v>75.570300000000003</v>
      </c>
      <c r="N46" s="310">
        <v>0.20480000000000001</v>
      </c>
      <c r="O46" s="311">
        <v>257.06670000000003</v>
      </c>
      <c r="P46" s="312">
        <v>275.334</v>
      </c>
      <c r="Q46" s="313">
        <v>8.3758999999999997</v>
      </c>
      <c r="R46" s="314">
        <v>23.489818</v>
      </c>
      <c r="S46" s="315">
        <v>58.573700000000002</v>
      </c>
      <c r="T46" s="296"/>
      <c r="U46" s="266"/>
      <c r="V46" s="266"/>
      <c r="W46" s="266"/>
      <c r="X46" s="320">
        <v>7</v>
      </c>
      <c r="Y46" s="321">
        <v>-9.9877777777777788E-2</v>
      </c>
      <c r="Z46" s="321">
        <v>-0.2343388888888889</v>
      </c>
      <c r="AA46" s="321">
        <v>-0.18146388888888887</v>
      </c>
      <c r="AB46" s="321">
        <v>-3.3083333333333333E-2</v>
      </c>
      <c r="AC46" s="321">
        <v>5.8541666666666672E-2</v>
      </c>
      <c r="AD46" s="321">
        <v>1.8252777777777777E-2</v>
      </c>
      <c r="AE46" s="321">
        <v>-8.261944444444444E-2</v>
      </c>
      <c r="AF46" s="321">
        <v>-9.4644444444444434E-2</v>
      </c>
      <c r="AG46" s="321">
        <v>3.6255555555555555E-2</v>
      </c>
      <c r="AH46" s="321">
        <v>0.20565555555555556</v>
      </c>
      <c r="AI46" s="321">
        <v>0.27221666666666666</v>
      </c>
      <c r="AJ46" s="321">
        <v>0.14002500000000001</v>
      </c>
    </row>
    <row r="47" spans="1:36">
      <c r="A47" s="266"/>
      <c r="B47" s="299">
        <v>1050</v>
      </c>
      <c r="C47" s="300">
        <v>2320168.5096</v>
      </c>
      <c r="D47" s="301">
        <v>147.62299999999999</v>
      </c>
      <c r="E47" s="302">
        <v>182.15799999999999</v>
      </c>
      <c r="F47" s="303">
        <v>112.8212</v>
      </c>
      <c r="G47" s="304"/>
      <c r="H47" s="305">
        <v>1050</v>
      </c>
      <c r="I47" s="306">
        <v>2320169</v>
      </c>
      <c r="J47" s="307">
        <v>1</v>
      </c>
      <c r="K47" s="307">
        <v>1</v>
      </c>
      <c r="L47" s="308">
        <v>30.2455</v>
      </c>
      <c r="M47" s="309">
        <v>113.4873</v>
      </c>
      <c r="N47" s="310">
        <v>38.478700000000003</v>
      </c>
      <c r="O47" s="311">
        <v>190.9873</v>
      </c>
      <c r="P47" s="312">
        <v>156.56389999999999</v>
      </c>
      <c r="Q47" s="313">
        <v>8.2332999999999998</v>
      </c>
      <c r="R47" s="314">
        <v>23.486039999999999</v>
      </c>
      <c r="S47" s="315">
        <v>96.99</v>
      </c>
      <c r="T47" s="296"/>
      <c r="U47" s="266"/>
      <c r="V47" s="266"/>
      <c r="W47" s="266"/>
      <c r="X47" s="320">
        <v>8</v>
      </c>
      <c r="Y47" s="321">
        <v>-0.10728888888888889</v>
      </c>
      <c r="Z47" s="321">
        <v>-0.23519999999999999</v>
      </c>
      <c r="AA47" s="321">
        <v>-0.17736666666666667</v>
      </c>
      <c r="AB47" s="321">
        <v>-2.8475E-2</v>
      </c>
      <c r="AC47" s="321">
        <v>5.9452777777777785E-2</v>
      </c>
      <c r="AD47" s="321">
        <v>1.5055555555555556E-2</v>
      </c>
      <c r="AE47" s="321">
        <v>-8.5183333333333333E-2</v>
      </c>
      <c r="AF47" s="321">
        <v>-9.2436111111111108E-2</v>
      </c>
      <c r="AG47" s="321">
        <v>4.2002777777777778E-2</v>
      </c>
      <c r="AH47" s="321">
        <v>0.21032500000000001</v>
      </c>
      <c r="AI47" s="321">
        <v>0.27104166666666668</v>
      </c>
      <c r="AJ47" s="321">
        <v>0.13270555555555555</v>
      </c>
    </row>
    <row r="48" spans="1:36">
      <c r="A48" s="266"/>
      <c r="B48" s="299">
        <v>1080</v>
      </c>
      <c r="C48" s="300">
        <v>2330799.5213000001</v>
      </c>
      <c r="D48" s="301">
        <v>29.007400000000001</v>
      </c>
      <c r="E48" s="302">
        <v>116.23260000000001</v>
      </c>
      <c r="F48" s="303">
        <v>150.74969999999999</v>
      </c>
      <c r="G48" s="304"/>
      <c r="H48" s="305">
        <v>1080</v>
      </c>
      <c r="I48" s="306">
        <v>2330800</v>
      </c>
      <c r="J48" s="307">
        <v>6</v>
      </c>
      <c r="K48" s="307">
        <v>2</v>
      </c>
      <c r="L48" s="308">
        <v>68.662000000000006</v>
      </c>
      <c r="M48" s="309">
        <v>151.4042</v>
      </c>
      <c r="N48" s="310">
        <v>76.752300000000005</v>
      </c>
      <c r="O48" s="311">
        <v>124.90949999999999</v>
      </c>
      <c r="P48" s="312">
        <v>37.793100000000003</v>
      </c>
      <c r="Q48" s="313">
        <v>8.0905000000000005</v>
      </c>
      <c r="R48" s="314">
        <v>23.48226</v>
      </c>
      <c r="S48" s="315">
        <v>135.40639999999999</v>
      </c>
      <c r="T48" s="296"/>
      <c r="U48" s="266"/>
      <c r="V48" s="266"/>
      <c r="W48" s="266"/>
      <c r="X48" s="320">
        <v>9</v>
      </c>
      <c r="Y48" s="321">
        <v>-0.1143138888888889</v>
      </c>
      <c r="Z48" s="321">
        <v>-0.23584166666666667</v>
      </c>
      <c r="AA48" s="321">
        <v>-0.17316944444444443</v>
      </c>
      <c r="AB48" s="321">
        <v>-2.3936111111111109E-2</v>
      </c>
      <c r="AC48" s="321">
        <v>6.0205555555555561E-2</v>
      </c>
      <c r="AD48" s="321">
        <v>1.1788888888888889E-2</v>
      </c>
      <c r="AE48" s="321">
        <v>-8.7633333333333327E-2</v>
      </c>
      <c r="AF48" s="321">
        <v>-9.0066666666666656E-2</v>
      </c>
      <c r="AG48" s="321">
        <v>4.7791666666666663E-2</v>
      </c>
      <c r="AH48" s="321">
        <v>0.21487500000000001</v>
      </c>
      <c r="AI48" s="321">
        <v>0.26963333333333334</v>
      </c>
      <c r="AJ48" s="321">
        <v>0.12525555555555556</v>
      </c>
    </row>
    <row r="49" spans="1:36">
      <c r="A49" s="266"/>
      <c r="B49" s="299">
        <v>1110</v>
      </c>
      <c r="C49" s="300">
        <v>2341430.5329999998</v>
      </c>
      <c r="D49" s="301">
        <v>270.39139999999998</v>
      </c>
      <c r="E49" s="302">
        <v>50.309100000000001</v>
      </c>
      <c r="F49" s="303">
        <v>188.6781</v>
      </c>
      <c r="G49" s="304"/>
      <c r="H49" s="305">
        <v>1110</v>
      </c>
      <c r="I49" s="306">
        <v>2341431</v>
      </c>
      <c r="J49" s="307">
        <v>4</v>
      </c>
      <c r="K49" s="307">
        <v>3</v>
      </c>
      <c r="L49" s="308">
        <v>107.07850000000001</v>
      </c>
      <c r="M49" s="309">
        <v>189.321</v>
      </c>
      <c r="N49" s="310">
        <v>115.0257</v>
      </c>
      <c r="O49" s="311">
        <v>58.833199999999998</v>
      </c>
      <c r="P49" s="312">
        <v>279.02179999999998</v>
      </c>
      <c r="Q49" s="313">
        <v>7.9474</v>
      </c>
      <c r="R49" s="314">
        <v>23.478480000000001</v>
      </c>
      <c r="S49" s="315">
        <v>173.8228</v>
      </c>
      <c r="T49" s="296"/>
      <c r="U49" s="266"/>
      <c r="V49" s="266"/>
      <c r="W49" s="266"/>
      <c r="X49" s="320">
        <v>10</v>
      </c>
      <c r="Y49" s="321">
        <v>-0.12119166666666667</v>
      </c>
      <c r="Z49" s="321">
        <v>-0.23626388888888888</v>
      </c>
      <c r="AA49" s="321">
        <v>-0.16887777777777777</v>
      </c>
      <c r="AB49" s="321">
        <v>-1.9472222222222221E-2</v>
      </c>
      <c r="AC49" s="321">
        <v>6.0800000000000007E-2</v>
      </c>
      <c r="AD49" s="321">
        <v>8.4583333333333333E-3</v>
      </c>
      <c r="AE49" s="321">
        <v>-8.9966666666666667E-2</v>
      </c>
      <c r="AF49" s="321">
        <v>-8.7538888888888888E-2</v>
      </c>
      <c r="AG49" s="321">
        <v>5.3622222222222224E-2</v>
      </c>
      <c r="AH49" s="321">
        <v>0.21929444444444446</v>
      </c>
      <c r="AI49" s="321">
        <v>0.26798888888888889</v>
      </c>
      <c r="AJ49" s="321">
        <v>0.11769166666666667</v>
      </c>
    </row>
    <row r="50" spans="1:36">
      <c r="A50" s="266"/>
      <c r="B50" s="299">
        <v>1140</v>
      </c>
      <c r="C50" s="300">
        <v>2352061.5447999998</v>
      </c>
      <c r="D50" s="301">
        <v>151.77520000000001</v>
      </c>
      <c r="E50" s="302">
        <v>344.38749999999999</v>
      </c>
      <c r="F50" s="303">
        <v>226.60659999999999</v>
      </c>
      <c r="G50" s="304"/>
      <c r="H50" s="305">
        <v>1140</v>
      </c>
      <c r="I50" s="306">
        <v>2352062</v>
      </c>
      <c r="J50" s="307">
        <v>2</v>
      </c>
      <c r="K50" s="307">
        <v>4</v>
      </c>
      <c r="L50" s="308">
        <v>145.49510000000001</v>
      </c>
      <c r="M50" s="309">
        <v>227.2379</v>
      </c>
      <c r="N50" s="310">
        <v>153.2989</v>
      </c>
      <c r="O50" s="311">
        <v>352.75830000000002</v>
      </c>
      <c r="P50" s="312">
        <v>160.24979999999999</v>
      </c>
      <c r="Q50" s="313">
        <v>7.8040000000000003</v>
      </c>
      <c r="R50" s="314">
        <v>23.474699000000001</v>
      </c>
      <c r="S50" s="315">
        <v>212.23929999999999</v>
      </c>
      <c r="T50" s="296"/>
      <c r="U50" s="266"/>
      <c r="V50" s="266"/>
      <c r="W50" s="266"/>
      <c r="X50" s="320">
        <v>11</v>
      </c>
      <c r="Y50" s="321">
        <v>-0.12791388888888888</v>
      </c>
      <c r="Z50" s="321">
        <v>-0.23647222222222222</v>
      </c>
      <c r="AA50" s="321">
        <v>-0.16449722222222221</v>
      </c>
      <c r="AB50" s="321">
        <v>-1.5086111111111111E-2</v>
      </c>
      <c r="AC50" s="321">
        <v>6.1233333333333334E-2</v>
      </c>
      <c r="AD50" s="321">
        <v>5.0666666666666664E-3</v>
      </c>
      <c r="AE50" s="321">
        <v>-9.2174999999999993E-2</v>
      </c>
      <c r="AF50" s="321">
        <v>-8.4849999999999995E-2</v>
      </c>
      <c r="AG50" s="321">
        <v>5.9483333333333333E-2</v>
      </c>
      <c r="AH50" s="321">
        <v>0.22358055555555556</v>
      </c>
      <c r="AI50" s="321">
        <v>0.26610833333333334</v>
      </c>
      <c r="AJ50" s="321">
        <v>0.1100138888888889</v>
      </c>
    </row>
    <row r="51" spans="1:36">
      <c r="A51" s="266"/>
      <c r="B51" s="299">
        <v>1170</v>
      </c>
      <c r="C51" s="300">
        <v>2362692.5565999998</v>
      </c>
      <c r="D51" s="301">
        <v>33.158700000000003</v>
      </c>
      <c r="E51" s="302">
        <v>278.46789999999999</v>
      </c>
      <c r="F51" s="303">
        <v>264.53500000000003</v>
      </c>
      <c r="G51" s="304"/>
      <c r="H51" s="305">
        <v>1170</v>
      </c>
      <c r="I51" s="306">
        <v>2362693</v>
      </c>
      <c r="J51" s="307">
        <v>0</v>
      </c>
      <c r="K51" s="307">
        <v>0</v>
      </c>
      <c r="L51" s="308">
        <v>183.9118</v>
      </c>
      <c r="M51" s="309">
        <v>265.15469999999999</v>
      </c>
      <c r="N51" s="310">
        <v>191.5719</v>
      </c>
      <c r="O51" s="311">
        <v>286.685</v>
      </c>
      <c r="P51" s="312">
        <v>41.477400000000003</v>
      </c>
      <c r="Q51" s="313">
        <v>7.6603000000000003</v>
      </c>
      <c r="R51" s="314">
        <v>23.470917</v>
      </c>
      <c r="S51" s="315">
        <v>250.6559</v>
      </c>
      <c r="T51" s="296"/>
      <c r="U51" s="266"/>
      <c r="V51" s="266"/>
      <c r="W51" s="266"/>
      <c r="X51" s="320">
        <v>12</v>
      </c>
      <c r="Y51" s="321">
        <v>-0.13447500000000001</v>
      </c>
      <c r="Z51" s="321">
        <v>-0.23646666666666666</v>
      </c>
      <c r="AA51" s="321">
        <v>-0.16003333333333333</v>
      </c>
      <c r="AB51" s="321">
        <v>-1.0786111111111111E-2</v>
      </c>
      <c r="AC51" s="321">
        <v>6.1508333333333338E-2</v>
      </c>
      <c r="AD51" s="321">
        <v>1.6249999999999999E-3</v>
      </c>
      <c r="AE51" s="321">
        <v>-9.4258333333333333E-2</v>
      </c>
      <c r="AF51" s="321">
        <v>-8.2008333333333336E-2</v>
      </c>
      <c r="AG51" s="321">
        <v>6.5375000000000003E-2</v>
      </c>
      <c r="AH51" s="321">
        <v>0.22773055555555557</v>
      </c>
      <c r="AI51" s="321">
        <v>0.26399166666666668</v>
      </c>
      <c r="AJ51" s="321">
        <v>0.10223611111111111</v>
      </c>
    </row>
    <row r="52" spans="1:36">
      <c r="A52" s="266"/>
      <c r="B52" s="299">
        <v>1200</v>
      </c>
      <c r="C52" s="300">
        <v>2373323.5684000002</v>
      </c>
      <c r="D52" s="301">
        <v>274.54180000000002</v>
      </c>
      <c r="E52" s="302">
        <v>212.55009999999999</v>
      </c>
      <c r="F52" s="303">
        <v>302.46339999999998</v>
      </c>
      <c r="G52" s="304"/>
      <c r="H52" s="305">
        <v>1200</v>
      </c>
      <c r="I52" s="306">
        <v>2373324</v>
      </c>
      <c r="J52" s="307">
        <v>5</v>
      </c>
      <c r="K52" s="307">
        <v>1</v>
      </c>
      <c r="L52" s="308">
        <v>222.32839999999999</v>
      </c>
      <c r="M52" s="309">
        <v>303.07150000000001</v>
      </c>
      <c r="N52" s="310">
        <v>229.84460000000001</v>
      </c>
      <c r="O52" s="311">
        <v>220.61320000000001</v>
      </c>
      <c r="P52" s="312">
        <v>282.70429999999999</v>
      </c>
      <c r="Q52" s="313">
        <v>7.5164</v>
      </c>
      <c r="R52" s="314">
        <v>23.467134999999999</v>
      </c>
      <c r="S52" s="315">
        <v>289.07249999999999</v>
      </c>
      <c r="T52" s="296"/>
      <c r="U52" s="266"/>
      <c r="V52" s="266"/>
      <c r="W52" s="266"/>
      <c r="X52" s="320">
        <v>13</v>
      </c>
      <c r="Y52" s="321">
        <v>-0.14086944444444444</v>
      </c>
      <c r="Z52" s="321">
        <v>-0.23625000000000002</v>
      </c>
      <c r="AA52" s="321">
        <v>-0.15549166666666667</v>
      </c>
      <c r="AB52" s="321">
        <v>-6.5694444444444437E-3</v>
      </c>
      <c r="AC52" s="321">
        <v>6.1624999999999999E-2</v>
      </c>
      <c r="AD52" s="321">
        <v>-1.8638888888888889E-3</v>
      </c>
      <c r="AE52" s="321">
        <v>-9.6208333333333326E-2</v>
      </c>
      <c r="AF52" s="321">
        <v>-7.9011111111111115E-2</v>
      </c>
      <c r="AG52" s="321">
        <v>7.129166666666667E-2</v>
      </c>
      <c r="AH52" s="321">
        <v>0.23173611111111111</v>
      </c>
      <c r="AI52" s="321">
        <v>0.26163888888888887</v>
      </c>
      <c r="AJ52" s="321">
        <v>9.4366666666666654E-2</v>
      </c>
    </row>
    <row r="53" spans="1:36">
      <c r="A53" s="266"/>
      <c r="B53" s="299">
        <v>1230</v>
      </c>
      <c r="C53" s="300">
        <v>2383954.5802000002</v>
      </c>
      <c r="D53" s="301">
        <v>155.9247</v>
      </c>
      <c r="E53" s="302">
        <v>146.6343</v>
      </c>
      <c r="F53" s="303">
        <v>340.39190000000002</v>
      </c>
      <c r="G53" s="304"/>
      <c r="H53" s="305">
        <v>1230</v>
      </c>
      <c r="I53" s="306">
        <v>2383955</v>
      </c>
      <c r="J53" s="307">
        <v>3</v>
      </c>
      <c r="K53" s="307">
        <v>2</v>
      </c>
      <c r="L53" s="308">
        <v>260.74520000000001</v>
      </c>
      <c r="M53" s="309">
        <v>340.98829999999998</v>
      </c>
      <c r="N53" s="310">
        <v>268.11709999999999</v>
      </c>
      <c r="O53" s="311">
        <v>154.5429</v>
      </c>
      <c r="P53" s="312">
        <v>163.9306</v>
      </c>
      <c r="Q53" s="313">
        <v>7.3720999999999997</v>
      </c>
      <c r="R53" s="314">
        <v>23.463352</v>
      </c>
      <c r="S53" s="315">
        <v>327.48919999999998</v>
      </c>
      <c r="T53" s="296"/>
      <c r="U53" s="266"/>
      <c r="V53" s="266"/>
      <c r="W53" s="266"/>
      <c r="X53" s="320">
        <v>14</v>
      </c>
      <c r="Y53" s="321">
        <v>-0.14708888888888888</v>
      </c>
      <c r="Z53" s="321">
        <v>-0.23582500000000001</v>
      </c>
      <c r="AA53" s="321">
        <v>-0.15087777777777778</v>
      </c>
      <c r="AB53" s="321">
        <v>-2.4472222222222222E-3</v>
      </c>
      <c r="AC53" s="321">
        <v>6.1583333333333337E-2</v>
      </c>
      <c r="AD53" s="321">
        <v>-5.391666666666667E-3</v>
      </c>
      <c r="AE53" s="321">
        <v>-9.8025000000000001E-2</v>
      </c>
      <c r="AF53" s="321">
        <v>-7.5863888888888883E-2</v>
      </c>
      <c r="AG53" s="321">
        <v>7.722222222222222E-2</v>
      </c>
      <c r="AH53" s="321">
        <v>0.23559444444444444</v>
      </c>
      <c r="AI53" s="321">
        <v>0.25905</v>
      </c>
      <c r="AJ53" s="321">
        <v>8.6413888888888887E-2</v>
      </c>
    </row>
    <row r="54" spans="1:36">
      <c r="A54" s="266"/>
      <c r="B54" s="299">
        <v>1260</v>
      </c>
      <c r="C54" s="300">
        <v>2394585.5921</v>
      </c>
      <c r="D54" s="301">
        <v>37.307299999999998</v>
      </c>
      <c r="E54" s="302">
        <v>80.720399999999998</v>
      </c>
      <c r="F54" s="303">
        <v>18.3203</v>
      </c>
      <c r="G54" s="304"/>
      <c r="H54" s="305">
        <v>1260</v>
      </c>
      <c r="I54" s="306">
        <v>2394586</v>
      </c>
      <c r="J54" s="307">
        <v>1</v>
      </c>
      <c r="K54" s="307">
        <v>3</v>
      </c>
      <c r="L54" s="308">
        <v>299.16199999999998</v>
      </c>
      <c r="M54" s="309">
        <v>18.905000000000001</v>
      </c>
      <c r="N54" s="310">
        <v>306.38940000000002</v>
      </c>
      <c r="O54" s="311">
        <v>88.474100000000007</v>
      </c>
      <c r="P54" s="312">
        <v>45.156399999999998</v>
      </c>
      <c r="Q54" s="313">
        <v>7.2275999999999998</v>
      </c>
      <c r="R54" s="314">
        <v>23.459568000000001</v>
      </c>
      <c r="S54" s="315">
        <v>5.9059999999999997</v>
      </c>
      <c r="T54" s="296"/>
      <c r="U54" s="266"/>
      <c r="V54" s="266"/>
      <c r="W54" s="266"/>
      <c r="X54" s="320">
        <v>15</v>
      </c>
      <c r="Y54" s="321">
        <v>-0.15313055555555555</v>
      </c>
      <c r="Z54" s="321">
        <v>-0.23519444444444446</v>
      </c>
      <c r="AA54" s="321">
        <v>-0.14619722222222223</v>
      </c>
      <c r="AB54" s="321">
        <v>1.5777777777777778E-3</v>
      </c>
      <c r="AC54" s="321">
        <v>6.1383333333333331E-2</v>
      </c>
      <c r="AD54" s="321">
        <v>-8.9527777777777765E-3</v>
      </c>
      <c r="AE54" s="321">
        <v>-9.9702777777777779E-2</v>
      </c>
      <c r="AF54" s="321">
        <v>-7.2566666666666668E-2</v>
      </c>
      <c r="AG54" s="321">
        <v>8.3166666666666667E-2</v>
      </c>
      <c r="AH54" s="321">
        <v>0.23929722222222222</v>
      </c>
      <c r="AI54" s="321">
        <v>0.25622777777777778</v>
      </c>
      <c r="AJ54" s="321">
        <v>7.8383333333333333E-2</v>
      </c>
    </row>
    <row r="55" spans="1:36">
      <c r="A55" s="266"/>
      <c r="B55" s="299">
        <v>1290</v>
      </c>
      <c r="C55" s="300">
        <v>2405216.6039</v>
      </c>
      <c r="D55" s="301">
        <v>278.68959999999998</v>
      </c>
      <c r="E55" s="302">
        <v>14.808400000000001</v>
      </c>
      <c r="F55" s="303">
        <v>56.248699999999999</v>
      </c>
      <c r="G55" s="304"/>
      <c r="H55" s="305">
        <v>1290</v>
      </c>
      <c r="I55" s="306">
        <v>2405217</v>
      </c>
      <c r="J55" s="307">
        <v>6</v>
      </c>
      <c r="K55" s="307">
        <v>4</v>
      </c>
      <c r="L55" s="308">
        <v>337.5788</v>
      </c>
      <c r="M55" s="309">
        <v>56.821800000000003</v>
      </c>
      <c r="N55" s="310">
        <v>344.66140000000001</v>
      </c>
      <c r="O55" s="311">
        <v>22.4068</v>
      </c>
      <c r="P55" s="312">
        <v>286.38159999999999</v>
      </c>
      <c r="Q55" s="313">
        <v>7.0827999999999998</v>
      </c>
      <c r="R55" s="314">
        <v>23.455784000000001</v>
      </c>
      <c r="S55" s="315">
        <v>44.322800000000001</v>
      </c>
      <c r="T55" s="296"/>
      <c r="U55" s="266"/>
      <c r="V55" s="266"/>
      <c r="W55" s="266"/>
      <c r="X55" s="320">
        <v>16</v>
      </c>
      <c r="Y55" s="321">
        <v>-0.15898611111111111</v>
      </c>
      <c r="Z55" s="321">
        <v>-0.2343611111111111</v>
      </c>
      <c r="AA55" s="321">
        <v>-0.14145555555555556</v>
      </c>
      <c r="AB55" s="321">
        <v>5.5027777777777774E-3</v>
      </c>
      <c r="AC55" s="321">
        <v>6.1027777777777778E-2</v>
      </c>
      <c r="AD55" s="321">
        <v>-1.2538888888888889E-2</v>
      </c>
      <c r="AE55" s="321">
        <v>-0.10123888888888889</v>
      </c>
      <c r="AF55" s="321">
        <v>-6.9124999999999992E-2</v>
      </c>
      <c r="AG55" s="321">
        <v>8.9119444444444446E-2</v>
      </c>
      <c r="AH55" s="321">
        <v>0.24284166666666668</v>
      </c>
      <c r="AI55" s="321">
        <v>0.25316944444444445</v>
      </c>
      <c r="AJ55" s="321">
        <v>7.0288888888888887E-2</v>
      </c>
    </row>
    <row r="56" spans="1:36">
      <c r="A56" s="266"/>
      <c r="B56" s="299">
        <v>1320</v>
      </c>
      <c r="C56" s="300">
        <v>2415847.6157999998</v>
      </c>
      <c r="D56" s="301">
        <v>160.07159999999999</v>
      </c>
      <c r="E56" s="302">
        <v>308.89839999999998</v>
      </c>
      <c r="F56" s="303">
        <v>94.177099999999996</v>
      </c>
      <c r="G56" s="304"/>
      <c r="H56" s="305">
        <v>1320</v>
      </c>
      <c r="I56" s="306">
        <v>2415848</v>
      </c>
      <c r="J56" s="307">
        <v>4</v>
      </c>
      <c r="K56" s="307">
        <v>0</v>
      </c>
      <c r="L56" s="308">
        <v>15.995699999999999</v>
      </c>
      <c r="M56" s="309">
        <v>94.738500000000002</v>
      </c>
      <c r="N56" s="310">
        <v>22.933299999999999</v>
      </c>
      <c r="O56" s="311">
        <v>316.34100000000001</v>
      </c>
      <c r="P56" s="312">
        <v>167.6063</v>
      </c>
      <c r="Q56" s="313">
        <v>6.9378000000000002</v>
      </c>
      <c r="R56" s="314">
        <v>23.452000000000002</v>
      </c>
      <c r="S56" s="315">
        <v>82.739699999999999</v>
      </c>
      <c r="T56" s="296"/>
      <c r="U56" s="266"/>
      <c r="V56" s="266"/>
      <c r="W56" s="266"/>
      <c r="X56" s="320">
        <v>17</v>
      </c>
      <c r="Y56" s="321">
        <v>-0.16465277777777776</v>
      </c>
      <c r="Z56" s="321">
        <v>-0.23333055555555557</v>
      </c>
      <c r="AA56" s="321">
        <v>-0.13665833333333333</v>
      </c>
      <c r="AB56" s="321">
        <v>9.3222222222222231E-3</v>
      </c>
      <c r="AC56" s="321">
        <v>6.051666666666667E-2</v>
      </c>
      <c r="AD56" s="321">
        <v>-1.6147222222222223E-2</v>
      </c>
      <c r="AE56" s="321">
        <v>-0.10262777777777779</v>
      </c>
      <c r="AF56" s="321">
        <v>-6.5541666666666665E-2</v>
      </c>
      <c r="AG56" s="321">
        <v>9.5072222222222225E-2</v>
      </c>
      <c r="AH56" s="321">
        <v>0.24622222222222223</v>
      </c>
      <c r="AI56" s="321">
        <v>0.24988055555555555</v>
      </c>
      <c r="AJ56" s="321">
        <v>6.2136111111111114E-2</v>
      </c>
    </row>
    <row r="57" spans="1:36">
      <c r="A57" s="266"/>
      <c r="B57" s="299">
        <v>1350</v>
      </c>
      <c r="C57" s="300">
        <v>2426478.6277999999</v>
      </c>
      <c r="D57" s="301">
        <v>41.453400000000002</v>
      </c>
      <c r="E57" s="302">
        <v>242.99019999999999</v>
      </c>
      <c r="F57" s="303">
        <v>132.10560000000001</v>
      </c>
      <c r="G57" s="304"/>
      <c r="H57" s="305">
        <v>1350</v>
      </c>
      <c r="I57" s="306">
        <v>2426479</v>
      </c>
      <c r="J57" s="307">
        <v>2</v>
      </c>
      <c r="K57" s="307">
        <v>1</v>
      </c>
      <c r="L57" s="308">
        <v>54.412599999999998</v>
      </c>
      <c r="M57" s="309">
        <v>132.6551</v>
      </c>
      <c r="N57" s="310">
        <v>61.204900000000002</v>
      </c>
      <c r="O57" s="311">
        <v>250.27670000000001</v>
      </c>
      <c r="P57" s="312">
        <v>48.830300000000001</v>
      </c>
      <c r="Q57" s="313">
        <v>6.7923999999999998</v>
      </c>
      <c r="R57" s="314">
        <v>23.448215000000001</v>
      </c>
      <c r="S57" s="315">
        <v>121.1567</v>
      </c>
      <c r="T57" s="296"/>
      <c r="U57" s="266"/>
      <c r="V57" s="266"/>
      <c r="W57" s="266"/>
      <c r="X57" s="320">
        <v>18</v>
      </c>
      <c r="Y57" s="321">
        <v>-0.170125</v>
      </c>
      <c r="Z57" s="321">
        <v>-0.2321027777777778</v>
      </c>
      <c r="AA57" s="321">
        <v>-0.1318111111111111</v>
      </c>
      <c r="AB57" s="321">
        <v>1.3033333333333334E-2</v>
      </c>
      <c r="AC57" s="321">
        <v>5.985E-2</v>
      </c>
      <c r="AD57" s="321">
        <v>-1.9769444444444444E-2</v>
      </c>
      <c r="AE57" s="321">
        <v>-0.10386944444444444</v>
      </c>
      <c r="AF57" s="321">
        <v>-6.1816666666666673E-2</v>
      </c>
      <c r="AG57" s="321">
        <v>0.10101944444444445</v>
      </c>
      <c r="AH57" s="321">
        <v>0.24943611111111111</v>
      </c>
      <c r="AI57" s="321">
        <v>0.24636111111111111</v>
      </c>
      <c r="AJ57" s="321">
        <v>5.393888888888889E-2</v>
      </c>
    </row>
    <row r="58" spans="1:36">
      <c r="A58" s="266"/>
      <c r="B58" s="299">
        <v>1380</v>
      </c>
      <c r="C58" s="300">
        <v>2437109.6397000002</v>
      </c>
      <c r="D58" s="301">
        <v>282.83479999999997</v>
      </c>
      <c r="E58" s="302">
        <v>177.084</v>
      </c>
      <c r="F58" s="303">
        <v>170.03399999999999</v>
      </c>
      <c r="G58" s="304"/>
      <c r="H58" s="305">
        <v>1380</v>
      </c>
      <c r="I58" s="306">
        <v>2437110</v>
      </c>
      <c r="J58" s="307">
        <v>0</v>
      </c>
      <c r="K58" s="307">
        <v>2</v>
      </c>
      <c r="L58" s="308">
        <v>92.829599999999999</v>
      </c>
      <c r="M58" s="309">
        <v>170.5718</v>
      </c>
      <c r="N58" s="310">
        <v>99.476200000000006</v>
      </c>
      <c r="O58" s="311">
        <v>184.214</v>
      </c>
      <c r="P58" s="312">
        <v>290.05380000000002</v>
      </c>
      <c r="Q58" s="313">
        <v>6.6467999999999998</v>
      </c>
      <c r="R58" s="314">
        <v>23.444430000000001</v>
      </c>
      <c r="S58" s="315">
        <v>159.5737</v>
      </c>
      <c r="T58" s="296"/>
      <c r="U58" s="266"/>
      <c r="V58" s="266"/>
      <c r="W58" s="266"/>
      <c r="X58" s="320">
        <v>19</v>
      </c>
      <c r="Y58" s="321">
        <v>-0.1753972222222222</v>
      </c>
      <c r="Z58" s="321">
        <v>-0.23068333333333335</v>
      </c>
      <c r="AA58" s="321">
        <v>-0.12691944444444445</v>
      </c>
      <c r="AB58" s="321">
        <v>1.6633333333333333E-2</v>
      </c>
      <c r="AC58" s="321">
        <v>5.903333333333334E-2</v>
      </c>
      <c r="AD58" s="321">
        <v>-2.3399999999999997E-2</v>
      </c>
      <c r="AE58" s="321">
        <v>-0.10495833333333333</v>
      </c>
      <c r="AF58" s="321">
        <v>-5.7952777777777784E-2</v>
      </c>
      <c r="AG58" s="321">
        <v>0.10695833333333334</v>
      </c>
      <c r="AH58" s="321">
        <v>0.2524777777777778</v>
      </c>
      <c r="AI58" s="321">
        <v>0.24261111111111111</v>
      </c>
      <c r="AJ58" s="321">
        <v>4.5700000000000005E-2</v>
      </c>
    </row>
    <row r="59" spans="1:36">
      <c r="A59" s="266"/>
      <c r="B59" s="299">
        <v>1410</v>
      </c>
      <c r="C59" s="300">
        <v>2447740.6519999998</v>
      </c>
      <c r="D59" s="301">
        <v>164.21619999999999</v>
      </c>
      <c r="E59" s="302">
        <v>111.17910000000001</v>
      </c>
      <c r="F59" s="303">
        <v>207.95869999999999</v>
      </c>
      <c r="G59" s="304"/>
      <c r="H59" s="305">
        <v>1410</v>
      </c>
      <c r="I59" s="306">
        <v>2447741</v>
      </c>
      <c r="J59" s="307">
        <v>5</v>
      </c>
      <c r="K59" s="307">
        <v>3</v>
      </c>
      <c r="L59" s="308">
        <v>131.2467</v>
      </c>
      <c r="M59" s="309">
        <v>208.48840000000001</v>
      </c>
      <c r="N59" s="310">
        <v>137.7474</v>
      </c>
      <c r="O59" s="311">
        <v>118.1528</v>
      </c>
      <c r="P59" s="312">
        <v>171.27670000000001</v>
      </c>
      <c r="Q59" s="313">
        <v>6.5008999999999997</v>
      </c>
      <c r="R59" s="314">
        <v>23.440645</v>
      </c>
      <c r="S59" s="315">
        <v>197.99080000000001</v>
      </c>
      <c r="T59" s="296"/>
      <c r="U59" s="266"/>
      <c r="V59" s="266"/>
      <c r="W59" s="266"/>
      <c r="X59" s="320">
        <v>20</v>
      </c>
      <c r="Y59" s="321">
        <v>-0.18046944444444443</v>
      </c>
      <c r="Z59" s="321">
        <v>-0.2290777777777778</v>
      </c>
      <c r="AA59" s="321">
        <v>-0.12199166666666666</v>
      </c>
      <c r="AB59" s="321">
        <v>2.0113888888888889E-2</v>
      </c>
      <c r="AC59" s="321">
        <v>5.8063888888888894E-2</v>
      </c>
      <c r="AD59" s="321">
        <v>-2.7030555555555558E-2</v>
      </c>
      <c r="AE59" s="321">
        <v>-0.10589166666666668</v>
      </c>
      <c r="AF59" s="321">
        <v>-5.3958333333333337E-2</v>
      </c>
      <c r="AG59" s="321">
        <v>0.11288055555555557</v>
      </c>
      <c r="AH59" s="321">
        <v>0.25533888888888889</v>
      </c>
      <c r="AI59" s="321">
        <v>0.2386361111111111</v>
      </c>
      <c r="AJ59" s="321">
        <v>3.7433333333333332E-2</v>
      </c>
    </row>
    <row r="60" spans="1:36">
      <c r="A60" s="266"/>
      <c r="B60" s="299">
        <v>1440</v>
      </c>
      <c r="C60" s="300">
        <v>2458371.6639</v>
      </c>
      <c r="D60" s="301">
        <v>45.598599999999998</v>
      </c>
      <c r="E60" s="302">
        <v>45.269599999999997</v>
      </c>
      <c r="F60" s="303">
        <v>245.8869</v>
      </c>
      <c r="G60" s="304"/>
      <c r="H60" s="305">
        <v>1440</v>
      </c>
      <c r="I60" s="306">
        <v>2458372</v>
      </c>
      <c r="J60" s="307">
        <v>3</v>
      </c>
      <c r="K60" s="307">
        <v>4</v>
      </c>
      <c r="L60" s="308">
        <v>169.66370000000001</v>
      </c>
      <c r="M60" s="309">
        <v>246.405</v>
      </c>
      <c r="N60" s="310">
        <v>176.01830000000001</v>
      </c>
      <c r="O60" s="311">
        <v>52.0931</v>
      </c>
      <c r="P60" s="312">
        <v>52.499000000000002</v>
      </c>
      <c r="Q60" s="313">
        <v>6.3547000000000002</v>
      </c>
      <c r="R60" s="314">
        <v>23.436859999999999</v>
      </c>
      <c r="S60" s="315">
        <v>236.40799999999999</v>
      </c>
      <c r="T60" s="296"/>
      <c r="U60" s="266"/>
      <c r="V60" s="266"/>
      <c r="W60" s="266"/>
      <c r="X60" s="320">
        <v>21</v>
      </c>
      <c r="Y60" s="321">
        <v>-0.18533333333333332</v>
      </c>
      <c r="Z60" s="321">
        <v>-0.2272888888888889</v>
      </c>
      <c r="AA60" s="321">
        <v>-0.11702777777777779</v>
      </c>
      <c r="AB60" s="321">
        <v>2.3477777777777778E-2</v>
      </c>
      <c r="AC60" s="321">
        <v>5.6947222222222225E-2</v>
      </c>
      <c r="AD60" s="321">
        <v>-3.0655555555555554E-2</v>
      </c>
      <c r="AE60" s="321">
        <v>-0.10667222222222222</v>
      </c>
      <c r="AF60" s="321">
        <v>-4.9833333333333334E-2</v>
      </c>
      <c r="AG60" s="321">
        <v>0.11878055555555556</v>
      </c>
      <c r="AH60" s="321">
        <v>0.25802222222222221</v>
      </c>
      <c r="AI60" s="321">
        <v>0.23443611111111112</v>
      </c>
      <c r="AJ60" s="321">
        <v>2.9149999999999999E-2</v>
      </c>
    </row>
    <row r="61" spans="1:36">
      <c r="A61" s="266"/>
      <c r="B61" s="299">
        <v>1470</v>
      </c>
      <c r="C61" s="300">
        <v>2469002.6757999999</v>
      </c>
      <c r="D61" s="301">
        <v>286.98090000000002</v>
      </c>
      <c r="E61" s="302">
        <v>339.36009999999999</v>
      </c>
      <c r="F61" s="303">
        <v>283.81509999999997</v>
      </c>
      <c r="G61" s="304"/>
      <c r="H61" s="305">
        <v>1470</v>
      </c>
      <c r="I61" s="306">
        <v>2469003</v>
      </c>
      <c r="J61" s="307">
        <v>1</v>
      </c>
      <c r="K61" s="307">
        <v>0</v>
      </c>
      <c r="L61" s="308">
        <v>208.08090000000001</v>
      </c>
      <c r="M61" s="309">
        <v>284.32150000000001</v>
      </c>
      <c r="N61" s="310">
        <v>214.28899999999999</v>
      </c>
      <c r="O61" s="311">
        <v>346.03489999999999</v>
      </c>
      <c r="P61" s="312">
        <v>293.7208</v>
      </c>
      <c r="Q61" s="313">
        <v>6.2083000000000004</v>
      </c>
      <c r="R61" s="314">
        <v>23.433074999999999</v>
      </c>
      <c r="S61" s="315">
        <v>274.8252</v>
      </c>
      <c r="T61" s="296"/>
      <c r="U61" s="266"/>
      <c r="V61" s="266"/>
      <c r="W61" s="266"/>
      <c r="X61" s="320">
        <v>22</v>
      </c>
      <c r="Y61" s="321">
        <v>-0.18998888888888887</v>
      </c>
      <c r="Z61" s="321">
        <v>-0.22531944444444446</v>
      </c>
      <c r="AA61" s="321">
        <v>-0.1120388888888889</v>
      </c>
      <c r="AB61" s="321">
        <v>2.6716666666666666E-2</v>
      </c>
      <c r="AC61" s="321">
        <v>5.5683333333333335E-2</v>
      </c>
      <c r="AD61" s="321">
        <v>-3.4266666666666667E-2</v>
      </c>
      <c r="AE61" s="321">
        <v>-0.10729166666666667</v>
      </c>
      <c r="AF61" s="321">
        <v>-4.5583333333333337E-2</v>
      </c>
      <c r="AG61" s="321">
        <v>0.12465277777777778</v>
      </c>
      <c r="AH61" s="321">
        <v>0.26051666666666667</v>
      </c>
      <c r="AI61" s="321">
        <v>0.23001388888888891</v>
      </c>
      <c r="AJ61" s="321">
        <v>2.0855555555555554E-2</v>
      </c>
    </row>
    <row r="62" spans="1:36">
      <c r="A62" s="266"/>
      <c r="B62" s="299">
        <v>1500</v>
      </c>
      <c r="C62" s="300">
        <v>2479633.6878</v>
      </c>
      <c r="D62" s="301">
        <v>168.36320000000001</v>
      </c>
      <c r="E62" s="302">
        <v>273.45060000000001</v>
      </c>
      <c r="F62" s="303">
        <v>321.74329999999998</v>
      </c>
      <c r="G62" s="304"/>
      <c r="H62" s="305">
        <v>1500</v>
      </c>
      <c r="I62" s="306">
        <v>2479634</v>
      </c>
      <c r="J62" s="307">
        <v>6</v>
      </c>
      <c r="K62" s="307">
        <v>1</v>
      </c>
      <c r="L62" s="308">
        <v>246.49809999999999</v>
      </c>
      <c r="M62" s="309">
        <v>322.23809999999997</v>
      </c>
      <c r="N62" s="310">
        <v>252.55950000000001</v>
      </c>
      <c r="O62" s="311">
        <v>279.97829999999999</v>
      </c>
      <c r="P62" s="312">
        <v>174.9419</v>
      </c>
      <c r="Q62" s="313">
        <v>6.0616000000000003</v>
      </c>
      <c r="R62" s="314">
        <v>23.429290999999999</v>
      </c>
      <c r="S62" s="315">
        <v>313.24250000000001</v>
      </c>
      <c r="T62" s="296"/>
      <c r="U62" s="266"/>
      <c r="V62" s="266"/>
      <c r="W62" s="266"/>
      <c r="X62" s="320">
        <v>23</v>
      </c>
      <c r="Y62" s="321">
        <v>-0.19443055555555555</v>
      </c>
      <c r="Z62" s="321">
        <v>-0.22317500000000001</v>
      </c>
      <c r="AA62" s="321">
        <v>-0.10703055555555556</v>
      </c>
      <c r="AB62" s="321">
        <v>2.9827777777777779E-2</v>
      </c>
      <c r="AC62" s="321">
        <v>5.4275000000000004E-2</v>
      </c>
      <c r="AD62" s="321">
        <v>-3.7861111111111109E-2</v>
      </c>
      <c r="AE62" s="321">
        <v>-0.10775000000000001</v>
      </c>
      <c r="AF62" s="321">
        <v>-4.1208333333333333E-2</v>
      </c>
      <c r="AG62" s="321">
        <v>0.13049444444444444</v>
      </c>
      <c r="AH62" s="321">
        <v>0.26282222222222223</v>
      </c>
      <c r="AI62" s="321">
        <v>0.22537500000000002</v>
      </c>
      <c r="AJ62" s="321">
        <v>1.2558333333333333E-2</v>
      </c>
    </row>
    <row r="63" spans="1:36">
      <c r="A63" s="266"/>
      <c r="B63" s="299">
        <v>1530</v>
      </c>
      <c r="C63" s="300">
        <v>2490264.6997000002</v>
      </c>
      <c r="D63" s="301">
        <v>49.7455</v>
      </c>
      <c r="E63" s="302">
        <v>207.5411</v>
      </c>
      <c r="F63" s="303">
        <v>359.67149999999998</v>
      </c>
      <c r="G63" s="304"/>
      <c r="H63" s="305">
        <v>1530</v>
      </c>
      <c r="I63" s="306">
        <v>2490265</v>
      </c>
      <c r="J63" s="307">
        <v>4</v>
      </c>
      <c r="K63" s="307">
        <v>2</v>
      </c>
      <c r="L63" s="308">
        <v>284.9153</v>
      </c>
      <c r="M63" s="309">
        <v>0.15459999999999999</v>
      </c>
      <c r="N63" s="310">
        <v>290.8297</v>
      </c>
      <c r="O63" s="311">
        <v>213.92320000000001</v>
      </c>
      <c r="P63" s="312">
        <v>56.162500000000001</v>
      </c>
      <c r="Q63" s="313">
        <v>5.9146000000000001</v>
      </c>
      <c r="R63" s="314">
        <v>23.425505999999999</v>
      </c>
      <c r="S63" s="315">
        <v>351.65980000000002</v>
      </c>
      <c r="T63" s="296"/>
      <c r="U63" s="266"/>
      <c r="V63" s="266"/>
      <c r="W63" s="266"/>
      <c r="X63" s="320">
        <v>24</v>
      </c>
      <c r="Y63" s="321">
        <v>-0.19865555555555553</v>
      </c>
      <c r="Z63" s="321">
        <v>-0.22086111111111112</v>
      </c>
      <c r="AA63" s="321">
        <v>-0.10200277777777779</v>
      </c>
      <c r="AB63" s="321">
        <v>3.2808333333333328E-2</v>
      </c>
      <c r="AC63" s="321">
        <v>5.2727777777777783E-2</v>
      </c>
      <c r="AD63" s="321">
        <v>-4.1427777777777779E-2</v>
      </c>
      <c r="AE63" s="321">
        <v>-0.10804444444444444</v>
      </c>
      <c r="AF63" s="321">
        <v>-3.6716666666666668E-2</v>
      </c>
      <c r="AG63" s="321">
        <v>0.13629722222222221</v>
      </c>
      <c r="AH63" s="321">
        <v>0.26493333333333335</v>
      </c>
      <c r="AI63" s="321">
        <v>0.22051944444444446</v>
      </c>
      <c r="AJ63" s="321">
        <v>4.2750000000000002E-3</v>
      </c>
    </row>
    <row r="64" spans="1:36">
      <c r="A64" s="266"/>
      <c r="B64" s="299">
        <v>1560</v>
      </c>
      <c r="C64" s="300">
        <v>2500895.7116</v>
      </c>
      <c r="D64" s="301">
        <v>291.12790000000001</v>
      </c>
      <c r="E64" s="302">
        <v>141.63159999999999</v>
      </c>
      <c r="F64" s="303">
        <v>37.599699999999999</v>
      </c>
      <c r="G64" s="304"/>
      <c r="H64" s="305">
        <v>1560</v>
      </c>
      <c r="I64" s="306">
        <v>2500896</v>
      </c>
      <c r="J64" s="307">
        <v>2</v>
      </c>
      <c r="K64" s="307">
        <v>3</v>
      </c>
      <c r="L64" s="308">
        <v>323.33260000000001</v>
      </c>
      <c r="M64" s="309">
        <v>38.071100000000001</v>
      </c>
      <c r="N64" s="310">
        <v>329.09969999999998</v>
      </c>
      <c r="O64" s="311">
        <v>147.86959999999999</v>
      </c>
      <c r="P64" s="312">
        <v>297.38249999999999</v>
      </c>
      <c r="Q64" s="313">
        <v>5.7672999999999996</v>
      </c>
      <c r="R64" s="314">
        <v>23.421721000000002</v>
      </c>
      <c r="S64" s="315">
        <v>30.077300000000001</v>
      </c>
      <c r="T64" s="296"/>
      <c r="U64" s="266"/>
      <c r="V64" s="266"/>
      <c r="W64" s="266"/>
      <c r="X64" s="320">
        <v>25</v>
      </c>
      <c r="Y64" s="321">
        <v>-0.20266388888888889</v>
      </c>
      <c r="Z64" s="321">
        <v>-0.21837777777777778</v>
      </c>
      <c r="AA64" s="321">
        <v>-9.6969444444444441E-2</v>
      </c>
      <c r="AB64" s="321">
        <v>3.5655555555555551E-2</v>
      </c>
      <c r="AC64" s="321">
        <v>5.1038888888888891E-2</v>
      </c>
      <c r="AD64" s="321">
        <v>-4.4963888888888887E-2</v>
      </c>
      <c r="AE64" s="321">
        <v>-0.10817777777777779</v>
      </c>
      <c r="AF64" s="321">
        <v>-3.2108333333333336E-2</v>
      </c>
      <c r="AG64" s="321">
        <v>0.14205555555555555</v>
      </c>
      <c r="AH64" s="321">
        <v>0.26684722222222224</v>
      </c>
      <c r="AI64" s="321">
        <v>0.21545555555555557</v>
      </c>
      <c r="AJ64" s="321">
        <v>3.9916666666666668E-3</v>
      </c>
    </row>
    <row r="65" spans="1:36">
      <c r="A65" s="266"/>
      <c r="B65" s="299">
        <v>1590</v>
      </c>
      <c r="C65" s="300">
        <v>2511526.7234999998</v>
      </c>
      <c r="D65" s="301">
        <v>172.5102</v>
      </c>
      <c r="E65" s="302">
        <v>75.722099999999998</v>
      </c>
      <c r="F65" s="303">
        <v>75.527799999999999</v>
      </c>
      <c r="G65" s="304"/>
      <c r="H65" s="305">
        <v>1590</v>
      </c>
      <c r="I65" s="306">
        <v>2511527</v>
      </c>
      <c r="J65" s="307">
        <v>0</v>
      </c>
      <c r="K65" s="307">
        <v>4</v>
      </c>
      <c r="L65" s="308">
        <v>1.75</v>
      </c>
      <c r="M65" s="309">
        <v>75.987499999999997</v>
      </c>
      <c r="N65" s="310">
        <v>7.3695000000000004</v>
      </c>
      <c r="O65" s="311">
        <v>81.817599999999999</v>
      </c>
      <c r="P65" s="312">
        <v>178.602</v>
      </c>
      <c r="Q65" s="313">
        <v>5.6197999999999997</v>
      </c>
      <c r="R65" s="314">
        <v>23.417936999999998</v>
      </c>
      <c r="S65" s="315">
        <v>68.494699999999995</v>
      </c>
      <c r="T65" s="296"/>
      <c r="U65" s="266"/>
      <c r="V65" s="266"/>
      <c r="W65" s="266"/>
      <c r="X65" s="320">
        <v>26</v>
      </c>
      <c r="Y65" s="321">
        <v>-0.20645277777777779</v>
      </c>
      <c r="Z65" s="321">
        <v>-0.21573333333333333</v>
      </c>
      <c r="AA65" s="321">
        <v>-9.1927777777777775E-2</v>
      </c>
      <c r="AB65" s="321">
        <v>3.8369444444444442E-2</v>
      </c>
      <c r="AC65" s="321">
        <v>4.9216666666666666E-2</v>
      </c>
      <c r="AD65" s="321">
        <v>-4.8461111111111108E-2</v>
      </c>
      <c r="AE65" s="321">
        <v>-0.10814444444444445</v>
      </c>
      <c r="AF65" s="321">
        <v>-2.7391666666666668E-2</v>
      </c>
      <c r="AG65" s="321">
        <v>0.14776666666666666</v>
      </c>
      <c r="AH65" s="321">
        <v>0.26855833333333334</v>
      </c>
      <c r="AI65" s="321">
        <v>0.21018333333333333</v>
      </c>
      <c r="AJ65" s="321">
        <v>1.2230555555555555E-2</v>
      </c>
    </row>
    <row r="66" spans="1:36">
      <c r="A66" s="266"/>
      <c r="B66" s="299">
        <v>1620</v>
      </c>
      <c r="C66" s="300">
        <v>2522157.7355</v>
      </c>
      <c r="D66" s="301">
        <v>53.892499999999998</v>
      </c>
      <c r="E66" s="302">
        <v>9.8125999999999998</v>
      </c>
      <c r="F66" s="303">
        <v>113.456</v>
      </c>
      <c r="G66" s="304"/>
      <c r="H66" s="305">
        <v>1620</v>
      </c>
      <c r="I66" s="306">
        <v>2522158</v>
      </c>
      <c r="J66" s="307">
        <v>5</v>
      </c>
      <c r="K66" s="307">
        <v>0</v>
      </c>
      <c r="L66" s="308">
        <v>40.167400000000001</v>
      </c>
      <c r="M66" s="309">
        <v>113.904</v>
      </c>
      <c r="N66" s="310">
        <v>45.639099999999999</v>
      </c>
      <c r="O66" s="311">
        <v>15.766999999999999</v>
      </c>
      <c r="P66" s="312">
        <v>59.820799999999998</v>
      </c>
      <c r="Q66" s="313">
        <v>5.4718999999999998</v>
      </c>
      <c r="R66" s="314">
        <v>23.414152999999999</v>
      </c>
      <c r="S66" s="315">
        <v>106.9123</v>
      </c>
      <c r="T66" s="296"/>
      <c r="U66" s="266"/>
      <c r="V66" s="266"/>
      <c r="W66" s="266"/>
      <c r="X66" s="320">
        <v>27</v>
      </c>
      <c r="Y66" s="321">
        <v>-0.21001666666666668</v>
      </c>
      <c r="Z66" s="321">
        <v>-0.21293333333333334</v>
      </c>
      <c r="AA66" s="321">
        <v>-8.6888888888888891E-2</v>
      </c>
      <c r="AB66" s="321">
        <v>4.0941666666666668E-2</v>
      </c>
      <c r="AC66" s="321">
        <v>4.726388888888889E-2</v>
      </c>
      <c r="AD66" s="321">
        <v>-5.1913888888888891E-2</v>
      </c>
      <c r="AE66" s="321">
        <v>-0.10794166666666667</v>
      </c>
      <c r="AF66" s="321">
        <v>-2.2566666666666665E-2</v>
      </c>
      <c r="AG66" s="321">
        <v>0.15341944444444444</v>
      </c>
      <c r="AH66" s="321">
        <v>0.27006388888888888</v>
      </c>
      <c r="AI66" s="321">
        <v>0.20470833333333335</v>
      </c>
      <c r="AJ66" s="321">
        <v>-1.2902777777777777E-2</v>
      </c>
    </row>
    <row r="67" spans="1:36">
      <c r="A67" s="266"/>
      <c r="B67" s="299">
        <v>1650</v>
      </c>
      <c r="C67" s="300">
        <v>2532788.7474000002</v>
      </c>
      <c r="D67" s="301">
        <v>295.27480000000003</v>
      </c>
      <c r="E67" s="302">
        <v>303.90309999999999</v>
      </c>
      <c r="F67" s="303">
        <v>151.38419999999999</v>
      </c>
      <c r="G67" s="304"/>
      <c r="H67" s="305">
        <v>1650</v>
      </c>
      <c r="I67" s="306">
        <v>2532789</v>
      </c>
      <c r="J67" s="307">
        <v>3</v>
      </c>
      <c r="K67" s="307">
        <v>1</v>
      </c>
      <c r="L67" s="308">
        <v>78.584800000000001</v>
      </c>
      <c r="M67" s="309">
        <v>151.82040000000001</v>
      </c>
      <c r="N67" s="310">
        <v>83.908500000000004</v>
      </c>
      <c r="O67" s="311">
        <v>309.71809999999999</v>
      </c>
      <c r="P67" s="312">
        <v>301.03910000000002</v>
      </c>
      <c r="Q67" s="313">
        <v>5.3238000000000003</v>
      </c>
      <c r="R67" s="314">
        <v>23.41037</v>
      </c>
      <c r="S67" s="315">
        <v>145.32990000000001</v>
      </c>
      <c r="T67" s="296"/>
      <c r="U67" s="266"/>
      <c r="V67" s="266"/>
      <c r="W67" s="266"/>
      <c r="X67" s="320">
        <v>28</v>
      </c>
      <c r="Y67" s="321">
        <v>-0.21335833333333334</v>
      </c>
      <c r="Z67" s="321">
        <v>-0.20997777777777779</v>
      </c>
      <c r="AA67" s="321">
        <v>-8.1855555555555556E-2</v>
      </c>
      <c r="AB67" s="321">
        <v>4.3372222222222222E-2</v>
      </c>
      <c r="AC67" s="321">
        <v>4.5180555555555557E-2</v>
      </c>
      <c r="AD67" s="321">
        <v>-5.5313888888888892E-2</v>
      </c>
      <c r="AE67" s="321">
        <v>-0.107575</v>
      </c>
      <c r="AF67" s="321">
        <v>-1.7638888888888888E-2</v>
      </c>
      <c r="AG67" s="321">
        <v>0.1590111111111111</v>
      </c>
      <c r="AH67" s="321">
        <v>0.27136111111111111</v>
      </c>
      <c r="AI67" s="321">
        <v>0.19903611111111111</v>
      </c>
      <c r="AJ67" s="321">
        <v>-4.7500000000000007E-3</v>
      </c>
    </row>
    <row r="68" spans="1:36">
      <c r="A68" s="266"/>
      <c r="B68" s="299">
        <v>1680</v>
      </c>
      <c r="C68" s="300">
        <v>2543419.7593</v>
      </c>
      <c r="D68" s="301">
        <v>176.65719999999999</v>
      </c>
      <c r="E68" s="302">
        <v>237.99359999999999</v>
      </c>
      <c r="F68" s="303">
        <v>189.3124</v>
      </c>
      <c r="G68" s="304"/>
      <c r="H68" s="305">
        <v>1680</v>
      </c>
      <c r="I68" s="306">
        <v>2543420</v>
      </c>
      <c r="J68" s="307">
        <v>1</v>
      </c>
      <c r="K68" s="307">
        <v>2</v>
      </c>
      <c r="L68" s="308">
        <v>117.00230000000001</v>
      </c>
      <c r="M68" s="309">
        <v>189.73679999999999</v>
      </c>
      <c r="N68" s="310">
        <v>122.1776</v>
      </c>
      <c r="O68" s="311">
        <v>243.67060000000001</v>
      </c>
      <c r="P68" s="312">
        <v>182.2568</v>
      </c>
      <c r="Q68" s="313">
        <v>5.1755000000000004</v>
      </c>
      <c r="R68" s="314">
        <v>23.406586999999998</v>
      </c>
      <c r="S68" s="315">
        <v>183.74760000000001</v>
      </c>
      <c r="T68" s="296"/>
      <c r="U68" s="266"/>
      <c r="V68" s="266"/>
      <c r="W68" s="266"/>
      <c r="X68" s="320">
        <v>29</v>
      </c>
      <c r="Y68" s="321">
        <v>-0.216475</v>
      </c>
      <c r="Z68" s="321">
        <v>-0.2068777777777778</v>
      </c>
      <c r="AA68" s="321">
        <v>-7.6836111111111105E-2</v>
      </c>
      <c r="AB68" s="321">
        <v>4.5661111111111111E-2</v>
      </c>
      <c r="AC68" s="321">
        <v>4.2974999999999999E-2</v>
      </c>
      <c r="AD68" s="321">
        <v>-5.865833333333334E-2</v>
      </c>
      <c r="AE68" s="321">
        <v>-0.10703888888888889</v>
      </c>
      <c r="AF68" s="321">
        <v>-1.2613888888888888E-2</v>
      </c>
      <c r="AG68" s="321">
        <v>0.16453611111111111</v>
      </c>
      <c r="AH68" s="321">
        <v>0.27244722222222223</v>
      </c>
      <c r="AI68" s="321">
        <v>0.19317222222222222</v>
      </c>
      <c r="AJ68" s="321">
        <v>-2.9986111111111109E-2</v>
      </c>
    </row>
    <row r="69" spans="1:36">
      <c r="A69" s="266"/>
      <c r="B69" s="299">
        <v>1710</v>
      </c>
      <c r="C69" s="300">
        <v>2554050.7711999998</v>
      </c>
      <c r="D69" s="301">
        <v>58.039499999999997</v>
      </c>
      <c r="E69" s="302">
        <v>172.08410000000001</v>
      </c>
      <c r="F69" s="303">
        <v>227.2406</v>
      </c>
      <c r="G69" s="304"/>
      <c r="H69" s="305">
        <v>1710</v>
      </c>
      <c r="I69" s="306">
        <v>2554051</v>
      </c>
      <c r="J69" s="307">
        <v>6</v>
      </c>
      <c r="K69" s="307">
        <v>3</v>
      </c>
      <c r="L69" s="308">
        <v>155.41990000000001</v>
      </c>
      <c r="M69" s="309">
        <v>227.65309999999999</v>
      </c>
      <c r="N69" s="310">
        <v>160.44649999999999</v>
      </c>
      <c r="O69" s="311">
        <v>177.62479999999999</v>
      </c>
      <c r="P69" s="312">
        <v>63.473999999999997</v>
      </c>
      <c r="Q69" s="313">
        <v>5.0267999999999997</v>
      </c>
      <c r="R69" s="314">
        <v>23.402805000000001</v>
      </c>
      <c r="S69" s="315">
        <v>222.16540000000001</v>
      </c>
      <c r="T69" s="296"/>
      <c r="U69" s="266"/>
      <c r="V69" s="266"/>
      <c r="W69" s="266"/>
      <c r="X69" s="320">
        <v>30</v>
      </c>
      <c r="Y69" s="321">
        <v>-0.21936388888888889</v>
      </c>
      <c r="Z69" s="321"/>
      <c r="AA69" s="321">
        <v>-7.1833333333333332E-2</v>
      </c>
      <c r="AB69" s="321">
        <v>4.7802777777777777E-2</v>
      </c>
      <c r="AC69" s="321">
        <v>4.0649999999999999E-2</v>
      </c>
      <c r="AD69" s="321">
        <v>-6.1936111111111115E-2</v>
      </c>
      <c r="AE69" s="321">
        <v>-0.10633333333333334</v>
      </c>
      <c r="AF69" s="321">
        <v>-7.4944444444444442E-3</v>
      </c>
      <c r="AG69" s="321">
        <v>0.16998888888888888</v>
      </c>
      <c r="AH69" s="321">
        <v>0.27331666666666665</v>
      </c>
      <c r="AI69" s="321">
        <v>0.18711944444444442</v>
      </c>
      <c r="AJ69" s="321">
        <v>-2.1952777777777779E-2</v>
      </c>
    </row>
    <row r="70" spans="1:36">
      <c r="A70" s="266"/>
      <c r="B70" s="299">
        <v>1740</v>
      </c>
      <c r="C70" s="300">
        <v>2564681.7831999999</v>
      </c>
      <c r="D70" s="301">
        <v>299.42180000000002</v>
      </c>
      <c r="E70" s="302">
        <v>106.1746</v>
      </c>
      <c r="F70" s="303">
        <v>265.16879999999998</v>
      </c>
      <c r="G70" s="304"/>
      <c r="H70" s="305">
        <v>1740</v>
      </c>
      <c r="I70" s="306">
        <v>2564682</v>
      </c>
      <c r="J70" s="307">
        <v>4</v>
      </c>
      <c r="K70" s="307">
        <v>4</v>
      </c>
      <c r="L70" s="308">
        <v>193.83750000000001</v>
      </c>
      <c r="M70" s="309">
        <v>265.56950000000001</v>
      </c>
      <c r="N70" s="310">
        <v>198.71520000000001</v>
      </c>
      <c r="O70" s="311">
        <v>111.5804</v>
      </c>
      <c r="P70" s="312">
        <v>304.69049999999999</v>
      </c>
      <c r="Q70" s="313">
        <v>4.8779000000000003</v>
      </c>
      <c r="R70" s="314">
        <v>23.399024000000001</v>
      </c>
      <c r="S70" s="315">
        <v>260.58319999999998</v>
      </c>
      <c r="T70" s="296"/>
      <c r="U70" s="266"/>
      <c r="V70" s="266"/>
      <c r="W70" s="266"/>
      <c r="X70" s="320">
        <v>31</v>
      </c>
      <c r="Y70" s="321">
        <v>-0.22203055555555556</v>
      </c>
      <c r="Z70" s="321"/>
      <c r="AA70" s="321">
        <v>-6.6852777777777775E-2</v>
      </c>
      <c r="AB70" s="321"/>
      <c r="AC70" s="321">
        <v>3.8205555555555555E-2</v>
      </c>
      <c r="AD70" s="321"/>
      <c r="AE70" s="321">
        <v>-0.10546111111111112</v>
      </c>
      <c r="AF70" s="321">
        <v>-2.2861111111111112E-3</v>
      </c>
      <c r="AG70" s="321"/>
      <c r="AH70" s="321">
        <v>0.27396666666666664</v>
      </c>
      <c r="AI70" s="321"/>
      <c r="AJ70" s="321">
        <v>-4.7330555555555556E-2</v>
      </c>
    </row>
    <row r="71" spans="1:36">
      <c r="A71" s="266"/>
      <c r="B71" s="299">
        <v>1770</v>
      </c>
      <c r="C71" s="300">
        <v>2575312.7951000002</v>
      </c>
      <c r="D71" s="301">
        <v>180.80410000000001</v>
      </c>
      <c r="E71" s="302">
        <v>40.265099999999997</v>
      </c>
      <c r="F71" s="303">
        <v>303.09699999999998</v>
      </c>
      <c r="G71" s="304"/>
      <c r="H71" s="305">
        <v>1770</v>
      </c>
      <c r="I71" s="306">
        <v>2575313</v>
      </c>
      <c r="J71" s="307">
        <v>2</v>
      </c>
      <c r="K71" s="307">
        <v>0</v>
      </c>
      <c r="L71" s="308">
        <v>232.2552</v>
      </c>
      <c r="M71" s="309">
        <v>303.48579999999998</v>
      </c>
      <c r="N71" s="310">
        <v>236.9837</v>
      </c>
      <c r="O71" s="311">
        <v>45.537599999999998</v>
      </c>
      <c r="P71" s="312">
        <v>185.90649999999999</v>
      </c>
      <c r="Q71" s="313">
        <v>4.7286999999999999</v>
      </c>
      <c r="R71" s="314">
        <v>23.395243000000001</v>
      </c>
      <c r="S71" s="315">
        <v>299.00110000000001</v>
      </c>
      <c r="T71" s="296"/>
      <c r="U71" s="266"/>
      <c r="V71" s="266"/>
      <c r="W71" s="266"/>
      <c r="X71" s="266"/>
      <c r="Y71" s="266"/>
      <c r="Z71" s="266"/>
      <c r="AA71" s="266"/>
      <c r="AB71" s="266"/>
      <c r="AC71" s="266"/>
      <c r="AD71" s="266"/>
      <c r="AE71" s="266"/>
      <c r="AF71" s="266"/>
      <c r="AG71" s="266"/>
      <c r="AH71" s="266"/>
      <c r="AI71" s="266"/>
      <c r="AJ71" s="266"/>
    </row>
    <row r="72" spans="1:36">
      <c r="A72" s="266"/>
      <c r="B72" s="266"/>
      <c r="C72" s="266"/>
      <c r="D72" s="266"/>
      <c r="E72" s="266"/>
      <c r="F72" s="266"/>
      <c r="G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  <c r="AC72" s="266"/>
      <c r="AD72" s="266"/>
      <c r="AE72" s="266"/>
      <c r="AF72" s="266"/>
      <c r="AG72" s="266"/>
      <c r="AH72" s="266"/>
      <c r="AI72" s="266"/>
      <c r="AJ72" s="266"/>
    </row>
    <row r="73" spans="1:36" ht="17.399999999999999">
      <c r="A73" s="266"/>
      <c r="B73" s="782" t="s">
        <v>63</v>
      </c>
      <c r="C73" s="782"/>
      <c r="D73" s="782"/>
      <c r="E73" s="782"/>
      <c r="F73" s="782"/>
      <c r="G73" s="267"/>
      <c r="H73" s="764" t="s">
        <v>64</v>
      </c>
      <c r="I73" s="765"/>
      <c r="J73" s="765"/>
      <c r="K73" s="765"/>
      <c r="L73" s="765"/>
      <c r="M73" s="765"/>
      <c r="N73" s="765"/>
      <c r="O73" s="765"/>
      <c r="P73" s="765"/>
      <c r="Q73" s="765"/>
      <c r="R73" s="765"/>
      <c r="S73" s="766"/>
      <c r="T73" s="266"/>
      <c r="U73" s="266"/>
      <c r="V73" s="266"/>
      <c r="W73" s="266"/>
      <c r="X73" s="788" t="s">
        <v>46</v>
      </c>
      <c r="Y73" s="788"/>
      <c r="Z73" s="788"/>
      <c r="AA73" s="323"/>
      <c r="AB73" s="772" t="s">
        <v>223</v>
      </c>
      <c r="AC73" s="772"/>
      <c r="AD73" s="772"/>
      <c r="AE73" s="324"/>
      <c r="AF73" s="785" t="s">
        <v>225</v>
      </c>
      <c r="AG73" s="786"/>
      <c r="AH73" s="787"/>
      <c r="AI73" s="266"/>
      <c r="AJ73" s="266"/>
    </row>
    <row r="74" spans="1:36" ht="15.6">
      <c r="A74" s="266"/>
      <c r="B74" s="325" t="s">
        <v>16</v>
      </c>
      <c r="C74" s="326" t="s">
        <v>17</v>
      </c>
      <c r="D74" s="326" t="s">
        <v>18</v>
      </c>
      <c r="E74" s="326" t="s">
        <v>19</v>
      </c>
      <c r="F74" s="326" t="s">
        <v>20</v>
      </c>
      <c r="G74" s="270"/>
      <c r="H74" s="773" t="s">
        <v>21</v>
      </c>
      <c r="I74" s="774" t="s">
        <v>22</v>
      </c>
      <c r="J74" s="776" t="s">
        <v>23</v>
      </c>
      <c r="K74" s="776"/>
      <c r="L74" s="271" t="s">
        <v>24</v>
      </c>
      <c r="M74" s="271" t="s">
        <v>25</v>
      </c>
      <c r="N74" s="271" t="s">
        <v>26</v>
      </c>
      <c r="O74" s="271" t="s">
        <v>27</v>
      </c>
      <c r="P74" s="271" t="s">
        <v>18</v>
      </c>
      <c r="Q74" s="271" t="s">
        <v>28</v>
      </c>
      <c r="R74" s="271" t="s">
        <v>29</v>
      </c>
      <c r="S74" s="271" t="s">
        <v>30</v>
      </c>
      <c r="T74" s="266"/>
      <c r="U74" s="777" t="s">
        <v>65</v>
      </c>
      <c r="V74" s="778"/>
      <c r="W74" s="266"/>
      <c r="X74" s="327">
        <v>1</v>
      </c>
      <c r="Y74" s="317">
        <v>-23.024702777777776</v>
      </c>
      <c r="Z74" s="317">
        <v>-23.024702777777776</v>
      </c>
      <c r="AA74" s="328"/>
      <c r="AB74" s="329">
        <v>1</v>
      </c>
      <c r="AC74" s="321">
        <v>-5.4577777777777781E-2</v>
      </c>
      <c r="AD74" s="321">
        <v>-5.4577777777777781E-2</v>
      </c>
      <c r="AE74" s="328"/>
      <c r="AF74" s="330">
        <v>1</v>
      </c>
      <c r="AG74" s="331">
        <v>31</v>
      </c>
      <c r="AH74" s="331">
        <v>31</v>
      </c>
      <c r="AI74" s="266"/>
      <c r="AJ74" s="266"/>
    </row>
    <row r="75" spans="1:36" ht="15.6">
      <c r="A75" s="266"/>
      <c r="B75" s="332" t="s">
        <v>32</v>
      </c>
      <c r="C75" s="333" t="s">
        <v>33</v>
      </c>
      <c r="D75" s="333" t="s">
        <v>34</v>
      </c>
      <c r="E75" s="333" t="s">
        <v>35</v>
      </c>
      <c r="F75" s="333" t="s">
        <v>36</v>
      </c>
      <c r="G75" s="334"/>
      <c r="H75" s="773"/>
      <c r="I75" s="775"/>
      <c r="J75" s="276" t="s">
        <v>37</v>
      </c>
      <c r="K75" s="276" t="s">
        <v>38</v>
      </c>
      <c r="L75" s="277" t="s">
        <v>39</v>
      </c>
      <c r="M75" s="277" t="s">
        <v>40</v>
      </c>
      <c r="N75" s="277" t="s">
        <v>36</v>
      </c>
      <c r="O75" s="277" t="s">
        <v>33</v>
      </c>
      <c r="P75" s="277" t="s">
        <v>41</v>
      </c>
      <c r="Q75" s="277" t="s">
        <v>42</v>
      </c>
      <c r="R75" s="277" t="s">
        <v>43</v>
      </c>
      <c r="S75" s="277" t="s">
        <v>44</v>
      </c>
      <c r="T75" s="266"/>
      <c r="U75" s="297" t="s">
        <v>47</v>
      </c>
      <c r="V75" s="297" t="s">
        <v>48</v>
      </c>
      <c r="W75" s="266"/>
      <c r="X75" s="327">
        <f>X74+1</f>
        <v>2</v>
      </c>
      <c r="Y75" s="317">
        <v>-22.940899999999999</v>
      </c>
      <c r="Z75" s="317">
        <v>-22.940899999999999</v>
      </c>
      <c r="AA75" s="328"/>
      <c r="AB75" s="329">
        <f>AB74+1</f>
        <v>2</v>
      </c>
      <c r="AC75" s="321">
        <v>-6.2430555555555559E-2</v>
      </c>
      <c r="AD75" s="321">
        <v>-6.2430555555555559E-2</v>
      </c>
      <c r="AE75" s="328"/>
      <c r="AF75" s="330">
        <f>AF74+1</f>
        <v>2</v>
      </c>
      <c r="AG75" s="331">
        <v>59</v>
      </c>
      <c r="AH75" s="331">
        <v>60</v>
      </c>
      <c r="AI75" s="266"/>
      <c r="AJ75" s="266"/>
    </row>
    <row r="76" spans="1:36">
      <c r="A76" s="266"/>
      <c r="B76" s="279">
        <v>1</v>
      </c>
      <c r="C76" s="280">
        <v>2</v>
      </c>
      <c r="D76" s="281">
        <v>3</v>
      </c>
      <c r="E76" s="282">
        <v>4</v>
      </c>
      <c r="F76" s="283">
        <v>5</v>
      </c>
      <c r="G76" s="284"/>
      <c r="H76" s="285">
        <v>1</v>
      </c>
      <c r="I76" s="286">
        <v>2</v>
      </c>
      <c r="J76" s="287">
        <v>3</v>
      </c>
      <c r="K76" s="287">
        <v>4</v>
      </c>
      <c r="L76" s="288">
        <v>5</v>
      </c>
      <c r="M76" s="289">
        <v>6</v>
      </c>
      <c r="N76" s="290">
        <v>7</v>
      </c>
      <c r="O76" s="291">
        <v>8</v>
      </c>
      <c r="P76" s="292">
        <v>9</v>
      </c>
      <c r="Q76" s="293">
        <v>10</v>
      </c>
      <c r="R76" s="294">
        <v>11</v>
      </c>
      <c r="S76" s="295">
        <v>12</v>
      </c>
      <c r="T76" s="266"/>
      <c r="U76" s="316">
        <v>0</v>
      </c>
      <c r="V76" s="316">
        <v>0</v>
      </c>
      <c r="W76" s="266"/>
      <c r="X76" s="327">
        <f t="shared" ref="X76:X139" si="0">X75+1</f>
        <v>3</v>
      </c>
      <c r="Y76" s="317">
        <v>-22.849480555555555</v>
      </c>
      <c r="Z76" s="317">
        <v>-22.849480555555555</v>
      </c>
      <c r="AA76" s="328"/>
      <c r="AB76" s="329">
        <f t="shared" ref="AB76" si="1">AB75+1</f>
        <v>3</v>
      </c>
      <c r="AC76" s="321">
        <v>-7.0188888888888884E-2</v>
      </c>
      <c r="AD76" s="321">
        <v>-7.0188888888888884E-2</v>
      </c>
      <c r="AE76" s="328"/>
      <c r="AF76" s="330">
        <f t="shared" ref="AF76:AF85" si="2">AF75+1</f>
        <v>3</v>
      </c>
      <c r="AG76" s="331">
        <v>90</v>
      </c>
      <c r="AH76" s="331">
        <v>91</v>
      </c>
      <c r="AI76" s="266"/>
      <c r="AJ76" s="266"/>
    </row>
    <row r="77" spans="1:36">
      <c r="A77" s="266"/>
      <c r="B77" s="279">
        <v>1</v>
      </c>
      <c r="C77" s="280">
        <v>354.36709999999999</v>
      </c>
      <c r="D77" s="281">
        <v>8.0460999999999991</v>
      </c>
      <c r="E77" s="282">
        <v>309.803</v>
      </c>
      <c r="F77" s="283">
        <v>349.26429999999999</v>
      </c>
      <c r="G77" s="284"/>
      <c r="H77" s="305">
        <v>0</v>
      </c>
      <c r="I77" s="286">
        <v>0</v>
      </c>
      <c r="J77" s="307">
        <v>0</v>
      </c>
      <c r="K77" s="307">
        <v>0</v>
      </c>
      <c r="L77" s="335">
        <v>0</v>
      </c>
      <c r="M77" s="336">
        <v>0</v>
      </c>
      <c r="N77" s="337">
        <v>0</v>
      </c>
      <c r="O77" s="338">
        <v>0</v>
      </c>
      <c r="P77" s="339">
        <v>0</v>
      </c>
      <c r="Q77" s="340">
        <v>0</v>
      </c>
      <c r="R77" s="341">
        <v>0</v>
      </c>
      <c r="S77" s="342">
        <v>0</v>
      </c>
      <c r="T77" s="266"/>
      <c r="U77" s="316">
        <v>1</v>
      </c>
      <c r="V77" s="316">
        <v>365</v>
      </c>
      <c r="W77" s="266"/>
      <c r="X77" s="327">
        <f t="shared" si="0"/>
        <v>4</v>
      </c>
      <c r="Y77" s="317">
        <v>-22.750486111111112</v>
      </c>
      <c r="Z77" s="317">
        <v>-22.750486111111112</v>
      </c>
      <c r="AA77" s="328"/>
      <c r="AB77" s="329">
        <f t="shared" ref="AB77" si="3">AB76+1</f>
        <v>4</v>
      </c>
      <c r="AC77" s="321">
        <v>-7.784722222222222E-2</v>
      </c>
      <c r="AD77" s="321">
        <v>-7.784722222222222E-2</v>
      </c>
      <c r="AE77" s="328"/>
      <c r="AF77" s="330">
        <f t="shared" si="2"/>
        <v>4</v>
      </c>
      <c r="AG77" s="331">
        <v>120</v>
      </c>
      <c r="AH77" s="331">
        <v>121</v>
      </c>
      <c r="AI77" s="266"/>
      <c r="AJ77" s="266"/>
    </row>
    <row r="78" spans="1:36">
      <c r="A78" s="266"/>
      <c r="B78" s="279">
        <v>2</v>
      </c>
      <c r="C78" s="280">
        <v>708.73410000000001</v>
      </c>
      <c r="D78" s="281">
        <v>16.092199999999998</v>
      </c>
      <c r="E78" s="282">
        <v>259.60599999999999</v>
      </c>
      <c r="F78" s="283">
        <v>338.52850000000001</v>
      </c>
      <c r="G78" s="284"/>
      <c r="H78" s="305">
        <v>1</v>
      </c>
      <c r="I78" s="306">
        <v>354</v>
      </c>
      <c r="J78" s="307">
        <v>4</v>
      </c>
      <c r="K78" s="307">
        <v>4</v>
      </c>
      <c r="L78" s="308">
        <v>348.91919999999999</v>
      </c>
      <c r="M78" s="309">
        <v>348.90249999999997</v>
      </c>
      <c r="N78" s="310">
        <v>344.44439999999997</v>
      </c>
      <c r="O78" s="311">
        <v>305.00749999999999</v>
      </c>
      <c r="P78" s="312">
        <v>3.19</v>
      </c>
      <c r="Q78" s="313">
        <v>355.52519999999998</v>
      </c>
      <c r="R78" s="314">
        <v>-1.26E-4</v>
      </c>
      <c r="S78" s="315">
        <v>348.91919999999999</v>
      </c>
      <c r="T78" s="266"/>
      <c r="U78" s="316">
        <v>2</v>
      </c>
      <c r="V78" s="316">
        <v>730</v>
      </c>
      <c r="W78" s="266"/>
      <c r="X78" s="327">
        <f t="shared" si="0"/>
        <v>5</v>
      </c>
      <c r="Y78" s="317">
        <v>-22.643963888888887</v>
      </c>
      <c r="Z78" s="317">
        <v>-22.643963888888887</v>
      </c>
      <c r="AA78" s="328"/>
      <c r="AB78" s="329">
        <f t="shared" ref="AB78" si="4">AB77+1</f>
        <v>5</v>
      </c>
      <c r="AC78" s="321">
        <v>-8.5391666666666657E-2</v>
      </c>
      <c r="AD78" s="321">
        <v>-8.5391666666666657E-2</v>
      </c>
      <c r="AE78" s="328"/>
      <c r="AF78" s="330">
        <f t="shared" si="2"/>
        <v>5</v>
      </c>
      <c r="AG78" s="331">
        <v>151</v>
      </c>
      <c r="AH78" s="331">
        <v>152</v>
      </c>
      <c r="AI78" s="266"/>
      <c r="AJ78" s="266"/>
    </row>
    <row r="79" spans="1:36">
      <c r="A79" s="266"/>
      <c r="B79" s="279">
        <v>3</v>
      </c>
      <c r="C79" s="280">
        <v>1063.1012000000001</v>
      </c>
      <c r="D79" s="281">
        <v>24.138200000000001</v>
      </c>
      <c r="E79" s="282">
        <v>209.4091</v>
      </c>
      <c r="F79" s="283">
        <v>327.7928</v>
      </c>
      <c r="G79" s="284"/>
      <c r="H79" s="305">
        <v>2</v>
      </c>
      <c r="I79" s="306">
        <v>708</v>
      </c>
      <c r="J79" s="307">
        <v>1</v>
      </c>
      <c r="K79" s="307">
        <v>3</v>
      </c>
      <c r="L79" s="308">
        <v>337.8383</v>
      </c>
      <c r="M79" s="309">
        <v>337.80500000000001</v>
      </c>
      <c r="N79" s="310">
        <v>328.88869999999997</v>
      </c>
      <c r="O79" s="311">
        <v>250.01499999999999</v>
      </c>
      <c r="P79" s="312">
        <v>6.38</v>
      </c>
      <c r="Q79" s="313">
        <v>351.05040000000002</v>
      </c>
      <c r="R79" s="314">
        <v>-2.52E-4</v>
      </c>
      <c r="S79" s="315">
        <v>337.8383</v>
      </c>
      <c r="T79" s="266"/>
      <c r="U79" s="316">
        <v>3</v>
      </c>
      <c r="V79" s="316">
        <v>1095</v>
      </c>
      <c r="W79" s="266"/>
      <c r="X79" s="327">
        <f t="shared" si="0"/>
        <v>6</v>
      </c>
      <c r="Y79" s="317">
        <v>-22.529969444444443</v>
      </c>
      <c r="Z79" s="317">
        <v>-22.529969444444443</v>
      </c>
      <c r="AA79" s="328"/>
      <c r="AB79" s="329">
        <f t="shared" ref="AB79" si="5">AB78+1</f>
        <v>6</v>
      </c>
      <c r="AC79" s="321">
        <v>-9.2819444444444441E-2</v>
      </c>
      <c r="AD79" s="321">
        <v>-9.2819444444444441E-2</v>
      </c>
      <c r="AE79" s="328"/>
      <c r="AF79" s="330">
        <f t="shared" si="2"/>
        <v>6</v>
      </c>
      <c r="AG79" s="331">
        <v>181</v>
      </c>
      <c r="AH79" s="331">
        <v>182</v>
      </c>
      <c r="AI79" s="266"/>
      <c r="AJ79" s="266"/>
    </row>
    <row r="80" spans="1:36">
      <c r="A80" s="266"/>
      <c r="B80" s="279">
        <v>4</v>
      </c>
      <c r="C80" s="280">
        <v>1417.4683</v>
      </c>
      <c r="D80" s="281">
        <v>32.1843</v>
      </c>
      <c r="E80" s="282">
        <v>159.21209999999999</v>
      </c>
      <c r="F80" s="283">
        <v>317.05709999999999</v>
      </c>
      <c r="G80" s="284"/>
      <c r="H80" s="305">
        <v>3</v>
      </c>
      <c r="I80" s="306">
        <v>1063</v>
      </c>
      <c r="J80" s="307">
        <v>6</v>
      </c>
      <c r="K80" s="307">
        <v>3</v>
      </c>
      <c r="L80" s="308">
        <v>327.74310000000003</v>
      </c>
      <c r="M80" s="309">
        <v>327.69310000000002</v>
      </c>
      <c r="N80" s="310">
        <v>326.5095</v>
      </c>
      <c r="O80" s="311">
        <v>208.08750000000001</v>
      </c>
      <c r="P80" s="312">
        <v>22.799299999999999</v>
      </c>
      <c r="Q80" s="313">
        <v>358.7663</v>
      </c>
      <c r="R80" s="314">
        <v>-3.7800000000000003E-4</v>
      </c>
      <c r="S80" s="315">
        <v>327.7432</v>
      </c>
      <c r="T80" s="266"/>
      <c r="U80" s="316">
        <v>4</v>
      </c>
      <c r="V80" s="316">
        <v>1461</v>
      </c>
      <c r="W80" s="266"/>
      <c r="X80" s="327">
        <f t="shared" si="0"/>
        <v>7</v>
      </c>
      <c r="Y80" s="317">
        <v>-22.408555555555555</v>
      </c>
      <c r="Z80" s="317">
        <v>-22.408555555555555</v>
      </c>
      <c r="AA80" s="328"/>
      <c r="AB80" s="329">
        <f t="shared" ref="AB80" si="6">AB79+1</f>
        <v>7</v>
      </c>
      <c r="AC80" s="321">
        <v>-9.9877777777777788E-2</v>
      </c>
      <c r="AD80" s="321">
        <v>-9.9877777777777788E-2</v>
      </c>
      <c r="AE80" s="328"/>
      <c r="AF80" s="330">
        <f t="shared" si="2"/>
        <v>7</v>
      </c>
      <c r="AG80" s="331">
        <v>212</v>
      </c>
      <c r="AH80" s="331">
        <v>213</v>
      </c>
      <c r="AI80" s="266"/>
      <c r="AJ80" s="266"/>
    </row>
    <row r="81" spans="1:36">
      <c r="A81" s="266"/>
      <c r="B81" s="279">
        <v>5</v>
      </c>
      <c r="C81" s="280">
        <v>1771.8353</v>
      </c>
      <c r="D81" s="281">
        <v>40.230400000000003</v>
      </c>
      <c r="E81" s="282">
        <v>109.0151</v>
      </c>
      <c r="F81" s="283">
        <v>306.32139999999998</v>
      </c>
      <c r="G81" s="284"/>
      <c r="H81" s="305">
        <v>4</v>
      </c>
      <c r="I81" s="306">
        <v>1417</v>
      </c>
      <c r="J81" s="307">
        <v>3</v>
      </c>
      <c r="K81" s="307">
        <v>2</v>
      </c>
      <c r="L81" s="308">
        <v>316.66230000000002</v>
      </c>
      <c r="M81" s="309">
        <v>316.59559999999999</v>
      </c>
      <c r="N81" s="310">
        <v>310.9538</v>
      </c>
      <c r="O81" s="311">
        <v>153.095</v>
      </c>
      <c r="P81" s="312">
        <v>25.9893</v>
      </c>
      <c r="Q81" s="313">
        <v>354.29149999999998</v>
      </c>
      <c r="R81" s="314">
        <v>-5.0500000000000002E-4</v>
      </c>
      <c r="S81" s="315">
        <v>316.66230000000002</v>
      </c>
      <c r="T81" s="343"/>
      <c r="U81" s="316">
        <v>5</v>
      </c>
      <c r="V81" s="316">
        <v>1826</v>
      </c>
      <c r="W81" s="266"/>
      <c r="X81" s="327">
        <f t="shared" si="0"/>
        <v>8</v>
      </c>
      <c r="Y81" s="317">
        <v>-22.279780555555554</v>
      </c>
      <c r="Z81" s="317">
        <v>-22.279780555555554</v>
      </c>
      <c r="AA81" s="328"/>
      <c r="AB81" s="329">
        <f t="shared" ref="AB81" si="7">AB80+1</f>
        <v>8</v>
      </c>
      <c r="AC81" s="321">
        <v>-0.10728888888888889</v>
      </c>
      <c r="AD81" s="321">
        <v>-0.10728888888888889</v>
      </c>
      <c r="AE81" s="328"/>
      <c r="AF81" s="330">
        <f t="shared" si="2"/>
        <v>8</v>
      </c>
      <c r="AG81" s="331">
        <v>243</v>
      </c>
      <c r="AH81" s="331">
        <v>244</v>
      </c>
      <c r="AI81" s="266"/>
      <c r="AJ81" s="266"/>
    </row>
    <row r="82" spans="1:36">
      <c r="A82" s="266"/>
      <c r="B82" s="279">
        <v>6</v>
      </c>
      <c r="C82" s="280">
        <v>2126.2024000000001</v>
      </c>
      <c r="D82" s="281">
        <v>48.276499999999999</v>
      </c>
      <c r="E82" s="282">
        <v>58.818100000000001</v>
      </c>
      <c r="F82" s="283">
        <v>295.5856</v>
      </c>
      <c r="G82" s="284"/>
      <c r="H82" s="305">
        <v>5</v>
      </c>
      <c r="I82" s="306">
        <v>1771</v>
      </c>
      <c r="J82" s="307">
        <v>0</v>
      </c>
      <c r="K82" s="307">
        <v>1</v>
      </c>
      <c r="L82" s="308">
        <v>305.58150000000001</v>
      </c>
      <c r="M82" s="309">
        <v>305.49810000000002</v>
      </c>
      <c r="N82" s="310">
        <v>295.39819999999997</v>
      </c>
      <c r="O82" s="311">
        <v>98.102500000000006</v>
      </c>
      <c r="P82" s="312">
        <v>29.179300000000001</v>
      </c>
      <c r="Q82" s="313">
        <v>349.81670000000003</v>
      </c>
      <c r="R82" s="314">
        <v>-6.3100000000000005E-4</v>
      </c>
      <c r="S82" s="315">
        <v>305.58150000000001</v>
      </c>
      <c r="T82" s="266"/>
      <c r="U82" s="316">
        <v>6</v>
      </c>
      <c r="V82" s="316">
        <v>2191</v>
      </c>
      <c r="W82" s="266"/>
      <c r="X82" s="327">
        <f t="shared" si="0"/>
        <v>9</v>
      </c>
      <c r="Y82" s="317">
        <v>-22.143711111111109</v>
      </c>
      <c r="Z82" s="317">
        <v>-22.143711111111109</v>
      </c>
      <c r="AA82" s="328"/>
      <c r="AB82" s="329">
        <f t="shared" ref="AB82" si="8">AB81+1</f>
        <v>9</v>
      </c>
      <c r="AC82" s="321">
        <v>-0.1143138888888889</v>
      </c>
      <c r="AD82" s="321">
        <v>-0.1143138888888889</v>
      </c>
      <c r="AE82" s="328"/>
      <c r="AF82" s="330">
        <f t="shared" si="2"/>
        <v>9</v>
      </c>
      <c r="AG82" s="331">
        <v>273</v>
      </c>
      <c r="AH82" s="331">
        <v>274</v>
      </c>
      <c r="AI82" s="266"/>
      <c r="AJ82" s="266"/>
    </row>
    <row r="83" spans="1:36">
      <c r="A83" s="266"/>
      <c r="B83" s="279">
        <v>7</v>
      </c>
      <c r="C83" s="280">
        <v>2480.5693999999999</v>
      </c>
      <c r="D83" s="281">
        <v>56.322499999999998</v>
      </c>
      <c r="E83" s="282">
        <v>8.6211000000000002</v>
      </c>
      <c r="F83" s="283">
        <v>284.84989999999999</v>
      </c>
      <c r="G83" s="284"/>
      <c r="H83" s="305">
        <v>6</v>
      </c>
      <c r="I83" s="306">
        <v>2126</v>
      </c>
      <c r="J83" s="307">
        <v>5</v>
      </c>
      <c r="K83" s="307">
        <v>1</v>
      </c>
      <c r="L83" s="308">
        <v>295.48630000000003</v>
      </c>
      <c r="M83" s="309">
        <v>295.38619999999997</v>
      </c>
      <c r="N83" s="310">
        <v>293.01889999999997</v>
      </c>
      <c r="O83" s="311">
        <v>56.174999999999997</v>
      </c>
      <c r="P83" s="312">
        <v>45.598599999999998</v>
      </c>
      <c r="Q83" s="313">
        <v>357.5326</v>
      </c>
      <c r="R83" s="314">
        <v>-7.5699999999999997E-4</v>
      </c>
      <c r="S83" s="315">
        <v>295.48630000000003</v>
      </c>
      <c r="T83" s="266"/>
      <c r="U83" s="316">
        <v>7</v>
      </c>
      <c r="V83" s="316">
        <v>2556</v>
      </c>
      <c r="W83" s="266"/>
      <c r="X83" s="327">
        <f t="shared" si="0"/>
        <v>10</v>
      </c>
      <c r="Y83" s="317">
        <v>-22.000411111111109</v>
      </c>
      <c r="Z83" s="317">
        <v>-22.000411111111109</v>
      </c>
      <c r="AA83" s="328"/>
      <c r="AB83" s="329">
        <f t="shared" ref="AB83" si="9">AB82+1</f>
        <v>10</v>
      </c>
      <c r="AC83" s="321">
        <v>-0.12119166666666667</v>
      </c>
      <c r="AD83" s="321">
        <v>-0.12119166666666667</v>
      </c>
      <c r="AE83" s="328"/>
      <c r="AF83" s="330">
        <f t="shared" si="2"/>
        <v>10</v>
      </c>
      <c r="AG83" s="331">
        <v>304</v>
      </c>
      <c r="AH83" s="331">
        <v>305</v>
      </c>
      <c r="AI83" s="266"/>
      <c r="AJ83" s="266"/>
    </row>
    <row r="84" spans="1:36">
      <c r="A84" s="266"/>
      <c r="B84" s="279">
        <v>8</v>
      </c>
      <c r="C84" s="280">
        <v>2834.9364999999998</v>
      </c>
      <c r="D84" s="281">
        <v>64.368600000000001</v>
      </c>
      <c r="E84" s="282">
        <v>318.42410000000001</v>
      </c>
      <c r="F84" s="283">
        <v>274.11419999999998</v>
      </c>
      <c r="G84" s="284"/>
      <c r="H84" s="305">
        <v>7</v>
      </c>
      <c r="I84" s="306">
        <v>2480</v>
      </c>
      <c r="J84" s="307">
        <v>2</v>
      </c>
      <c r="K84" s="307">
        <v>0</v>
      </c>
      <c r="L84" s="308">
        <v>284.40550000000002</v>
      </c>
      <c r="M84" s="309">
        <v>284.28870000000001</v>
      </c>
      <c r="N84" s="310">
        <v>277.4633</v>
      </c>
      <c r="O84" s="311">
        <v>1.1826000000000001</v>
      </c>
      <c r="P84" s="312">
        <v>48.788600000000002</v>
      </c>
      <c r="Q84" s="313">
        <v>353.05779999999999</v>
      </c>
      <c r="R84" s="314">
        <v>-8.83E-4</v>
      </c>
      <c r="S84" s="315">
        <v>284.40550000000002</v>
      </c>
      <c r="T84" s="266"/>
      <c r="U84" s="316">
        <v>8</v>
      </c>
      <c r="V84" s="316">
        <v>2922</v>
      </c>
      <c r="W84" s="266"/>
      <c r="X84" s="327">
        <f t="shared" si="0"/>
        <v>11</v>
      </c>
      <c r="Y84" s="317">
        <v>-21.84995</v>
      </c>
      <c r="Z84" s="317">
        <v>-21.84995</v>
      </c>
      <c r="AA84" s="328"/>
      <c r="AB84" s="329">
        <f t="shared" ref="AB84" si="10">AB83+1</f>
        <v>11</v>
      </c>
      <c r="AC84" s="321">
        <v>-0.12791388888888888</v>
      </c>
      <c r="AD84" s="321">
        <v>-0.12791388888888888</v>
      </c>
      <c r="AE84" s="328"/>
      <c r="AF84" s="330">
        <f t="shared" si="2"/>
        <v>11</v>
      </c>
      <c r="AG84" s="331">
        <v>334</v>
      </c>
      <c r="AH84" s="331">
        <v>335</v>
      </c>
      <c r="AI84" s="266"/>
      <c r="AJ84" s="266"/>
    </row>
    <row r="85" spans="1:36">
      <c r="A85" s="266"/>
      <c r="B85" s="279">
        <v>9</v>
      </c>
      <c r="C85" s="280">
        <v>3189.3036000000002</v>
      </c>
      <c r="D85" s="281">
        <v>72.414699999999996</v>
      </c>
      <c r="E85" s="282">
        <v>268.22719999999998</v>
      </c>
      <c r="F85" s="283">
        <v>263.37849999999997</v>
      </c>
      <c r="G85" s="284"/>
      <c r="H85" s="305">
        <v>8</v>
      </c>
      <c r="I85" s="306">
        <v>2834</v>
      </c>
      <c r="J85" s="307">
        <v>6</v>
      </c>
      <c r="K85" s="307">
        <v>4</v>
      </c>
      <c r="L85" s="308">
        <v>273.32459999999998</v>
      </c>
      <c r="M85" s="309">
        <v>273.19119999999998</v>
      </c>
      <c r="N85" s="310">
        <v>261.9076</v>
      </c>
      <c r="O85" s="311">
        <v>306.19009999999997</v>
      </c>
      <c r="P85" s="312">
        <v>51.9786</v>
      </c>
      <c r="Q85" s="313">
        <v>348.58300000000003</v>
      </c>
      <c r="R85" s="314">
        <v>-1.0089999999999999E-3</v>
      </c>
      <c r="S85" s="315">
        <v>273.32459999999998</v>
      </c>
      <c r="T85" s="266"/>
      <c r="U85" s="316">
        <v>9</v>
      </c>
      <c r="V85" s="316">
        <v>3287</v>
      </c>
      <c r="W85" s="266"/>
      <c r="X85" s="327">
        <f t="shared" si="0"/>
        <v>12</v>
      </c>
      <c r="Y85" s="317">
        <v>-21.692397222222223</v>
      </c>
      <c r="Z85" s="317">
        <v>-21.692397222222223</v>
      </c>
      <c r="AA85" s="328"/>
      <c r="AB85" s="329">
        <f t="shared" ref="AB85" si="11">AB84+1</f>
        <v>12</v>
      </c>
      <c r="AC85" s="321">
        <v>-0.13447500000000001</v>
      </c>
      <c r="AD85" s="321">
        <v>-0.13447500000000001</v>
      </c>
      <c r="AE85" s="328"/>
      <c r="AF85" s="330">
        <f t="shared" si="2"/>
        <v>12</v>
      </c>
      <c r="AG85" s="331">
        <v>365</v>
      </c>
      <c r="AH85" s="331">
        <v>366</v>
      </c>
      <c r="AI85" s="266"/>
      <c r="AJ85" s="266"/>
    </row>
    <row r="86" spans="1:36">
      <c r="A86" s="266"/>
      <c r="B86" s="279">
        <v>10</v>
      </c>
      <c r="C86" s="280">
        <v>3543.6705999999999</v>
      </c>
      <c r="D86" s="281">
        <v>80.460800000000006</v>
      </c>
      <c r="E86" s="282">
        <v>218.03020000000001</v>
      </c>
      <c r="F86" s="283">
        <v>252.64269999999999</v>
      </c>
      <c r="G86" s="284"/>
      <c r="H86" s="305">
        <v>9</v>
      </c>
      <c r="I86" s="306">
        <v>3189</v>
      </c>
      <c r="J86" s="307">
        <v>4</v>
      </c>
      <c r="K86" s="307">
        <v>4</v>
      </c>
      <c r="L86" s="308">
        <v>263.2294</v>
      </c>
      <c r="M86" s="309">
        <v>263.07929999999999</v>
      </c>
      <c r="N86" s="310">
        <v>259.52839999999998</v>
      </c>
      <c r="O86" s="311">
        <v>264.26260000000002</v>
      </c>
      <c r="P86" s="312">
        <v>68.397900000000007</v>
      </c>
      <c r="Q86" s="313">
        <v>356.2989</v>
      </c>
      <c r="R86" s="314">
        <v>-1.1349999999999999E-3</v>
      </c>
      <c r="S86" s="315">
        <v>263.22949999999997</v>
      </c>
      <c r="T86" s="266"/>
      <c r="U86" s="316">
        <v>10</v>
      </c>
      <c r="V86" s="316">
        <v>3652</v>
      </c>
      <c r="W86" s="266"/>
      <c r="X86" s="327">
        <f t="shared" si="0"/>
        <v>13</v>
      </c>
      <c r="Y86" s="317">
        <v>-21.527833333333334</v>
      </c>
      <c r="Z86" s="317">
        <v>-21.527833333333334</v>
      </c>
      <c r="AA86" s="328"/>
      <c r="AB86" s="329">
        <f t="shared" ref="AB86" si="12">AB85+1</f>
        <v>13</v>
      </c>
      <c r="AC86" s="321">
        <v>-0.14086944444444444</v>
      </c>
      <c r="AD86" s="321">
        <v>-0.14086944444444444</v>
      </c>
      <c r="AE86" s="266"/>
      <c r="AF86" s="266"/>
      <c r="AG86" s="266"/>
      <c r="AH86" s="266"/>
      <c r="AI86" s="266"/>
      <c r="AJ86" s="266"/>
    </row>
    <row r="87" spans="1:36">
      <c r="A87" s="266"/>
      <c r="B87" s="279">
        <v>11</v>
      </c>
      <c r="C87" s="280">
        <v>3898.0376999999999</v>
      </c>
      <c r="D87" s="281">
        <v>88.506900000000002</v>
      </c>
      <c r="E87" s="282">
        <v>167.83320000000001</v>
      </c>
      <c r="F87" s="283">
        <v>241.90700000000001</v>
      </c>
      <c r="G87" s="284"/>
      <c r="H87" s="305">
        <v>10</v>
      </c>
      <c r="I87" s="306">
        <v>3543</v>
      </c>
      <c r="J87" s="307">
        <v>1</v>
      </c>
      <c r="K87" s="307">
        <v>3</v>
      </c>
      <c r="L87" s="308">
        <v>252.14859999999999</v>
      </c>
      <c r="M87" s="309">
        <v>251.98179999999999</v>
      </c>
      <c r="N87" s="310">
        <v>243.9727</v>
      </c>
      <c r="O87" s="311">
        <v>209.27010000000001</v>
      </c>
      <c r="P87" s="312">
        <v>71.587900000000005</v>
      </c>
      <c r="Q87" s="313">
        <v>351.82409999999999</v>
      </c>
      <c r="R87" s="314">
        <v>-1.261E-3</v>
      </c>
      <c r="S87" s="315">
        <v>252.14859999999999</v>
      </c>
      <c r="T87" s="266"/>
      <c r="U87" s="316">
        <v>11</v>
      </c>
      <c r="V87" s="316">
        <v>4017</v>
      </c>
      <c r="W87" s="266"/>
      <c r="X87" s="327">
        <f t="shared" si="0"/>
        <v>14</v>
      </c>
      <c r="Y87" s="317">
        <v>-21.356333333333335</v>
      </c>
      <c r="Z87" s="317">
        <v>-21.356333333333335</v>
      </c>
      <c r="AA87" s="328"/>
      <c r="AB87" s="329">
        <f t="shared" ref="AB87" si="13">AB86+1</f>
        <v>14</v>
      </c>
      <c r="AC87" s="321">
        <v>-0.14708888888888888</v>
      </c>
      <c r="AD87" s="321">
        <v>-0.14708888888888888</v>
      </c>
      <c r="AE87" s="266"/>
      <c r="AF87" s="790"/>
      <c r="AG87" s="791"/>
      <c r="AH87" s="791"/>
      <c r="AI87" s="266"/>
      <c r="AJ87" s="266"/>
    </row>
    <row r="88" spans="1:36">
      <c r="A88" s="266"/>
      <c r="B88" s="279">
        <v>12</v>
      </c>
      <c r="C88" s="280">
        <v>4252.4048000000003</v>
      </c>
      <c r="D88" s="281">
        <v>96.552899999999994</v>
      </c>
      <c r="E88" s="282">
        <v>117.6362</v>
      </c>
      <c r="F88" s="283">
        <v>231.1713</v>
      </c>
      <c r="G88" s="284"/>
      <c r="H88" s="305">
        <v>11</v>
      </c>
      <c r="I88" s="306">
        <v>3898</v>
      </c>
      <c r="J88" s="307">
        <v>6</v>
      </c>
      <c r="K88" s="307">
        <v>3</v>
      </c>
      <c r="L88" s="308">
        <v>242.05340000000001</v>
      </c>
      <c r="M88" s="309">
        <v>241.8699</v>
      </c>
      <c r="N88" s="310">
        <v>241.59350000000001</v>
      </c>
      <c r="O88" s="311">
        <v>167.3426</v>
      </c>
      <c r="P88" s="312">
        <v>88.007199999999997</v>
      </c>
      <c r="Q88" s="313">
        <v>359.54</v>
      </c>
      <c r="R88" s="314">
        <v>-1.3879999999999999E-3</v>
      </c>
      <c r="S88" s="315">
        <v>242.05340000000001</v>
      </c>
      <c r="T88" s="266"/>
      <c r="U88" s="316">
        <v>12</v>
      </c>
      <c r="V88" s="316">
        <v>4383</v>
      </c>
      <c r="W88" s="266"/>
      <c r="X88" s="327">
        <f t="shared" si="0"/>
        <v>15</v>
      </c>
      <c r="Y88" s="317">
        <v>-21.17797777777778</v>
      </c>
      <c r="Z88" s="317">
        <v>-21.17797777777778</v>
      </c>
      <c r="AA88" s="328"/>
      <c r="AB88" s="329">
        <f t="shared" ref="AB88" si="14">AB87+1</f>
        <v>15</v>
      </c>
      <c r="AC88" s="321">
        <v>-0.15313055555555555</v>
      </c>
      <c r="AD88" s="321">
        <v>-0.15313055555555555</v>
      </c>
      <c r="AE88" s="266"/>
      <c r="AF88" s="266"/>
      <c r="AG88" s="266"/>
      <c r="AH88" s="266"/>
      <c r="AI88" s="266"/>
      <c r="AJ88" s="266"/>
    </row>
    <row r="89" spans="1:36">
      <c r="A89" s="266"/>
      <c r="B89" s="279">
        <v>13</v>
      </c>
      <c r="C89" s="280">
        <v>4606.7718000000004</v>
      </c>
      <c r="D89" s="281">
        <v>104.599</v>
      </c>
      <c r="E89" s="282">
        <v>67.4392</v>
      </c>
      <c r="F89" s="283">
        <v>220.43549999999999</v>
      </c>
      <c r="G89" s="284"/>
      <c r="H89" s="305">
        <v>12</v>
      </c>
      <c r="I89" s="306">
        <v>4252</v>
      </c>
      <c r="J89" s="307">
        <v>3</v>
      </c>
      <c r="K89" s="307">
        <v>2</v>
      </c>
      <c r="L89" s="308">
        <v>230.9726</v>
      </c>
      <c r="M89" s="309">
        <v>230.7724</v>
      </c>
      <c r="N89" s="310">
        <v>226.0378</v>
      </c>
      <c r="O89" s="311">
        <v>112.3502</v>
      </c>
      <c r="P89" s="312">
        <v>91.197199999999995</v>
      </c>
      <c r="Q89" s="313">
        <v>355.0652</v>
      </c>
      <c r="R89" s="314">
        <v>-1.5139999999999999E-3</v>
      </c>
      <c r="S89" s="315">
        <v>230.9726</v>
      </c>
      <c r="T89" s="266"/>
      <c r="U89" s="316">
        <v>13</v>
      </c>
      <c r="V89" s="316">
        <v>4748</v>
      </c>
      <c r="W89" s="266"/>
      <c r="X89" s="327">
        <f t="shared" si="0"/>
        <v>16</v>
      </c>
      <c r="Y89" s="317">
        <v>-20.992850000000001</v>
      </c>
      <c r="Z89" s="317">
        <v>-20.992850000000001</v>
      </c>
      <c r="AA89" s="328"/>
      <c r="AB89" s="329">
        <f t="shared" ref="AB89" si="15">AB88+1</f>
        <v>16</v>
      </c>
      <c r="AC89" s="321">
        <v>-0.15898611111111111</v>
      </c>
      <c r="AD89" s="321">
        <v>-0.15898611111111111</v>
      </c>
      <c r="AE89" s="266"/>
      <c r="AF89" s="266"/>
      <c r="AG89" s="266"/>
      <c r="AH89" s="266"/>
      <c r="AI89" s="266"/>
      <c r="AJ89" s="266"/>
    </row>
    <row r="90" spans="1:36">
      <c r="A90" s="266"/>
      <c r="B90" s="279">
        <v>14</v>
      </c>
      <c r="C90" s="280">
        <v>4961.1388999999999</v>
      </c>
      <c r="D90" s="281">
        <v>112.6451</v>
      </c>
      <c r="E90" s="282">
        <v>17.2422</v>
      </c>
      <c r="F90" s="283">
        <v>209.69980000000001</v>
      </c>
      <c r="G90" s="284"/>
      <c r="H90" s="305">
        <v>13</v>
      </c>
      <c r="I90" s="306">
        <v>4606</v>
      </c>
      <c r="J90" s="307">
        <v>0</v>
      </c>
      <c r="K90" s="307">
        <v>1</v>
      </c>
      <c r="L90" s="308">
        <v>219.89169999999999</v>
      </c>
      <c r="M90" s="309">
        <v>219.67490000000001</v>
      </c>
      <c r="N90" s="310">
        <v>210.48220000000001</v>
      </c>
      <c r="O90" s="311">
        <v>57.357700000000001</v>
      </c>
      <c r="P90" s="312">
        <v>94.387200000000007</v>
      </c>
      <c r="Q90" s="313">
        <v>350.59039999999999</v>
      </c>
      <c r="R90" s="314">
        <v>-1.64E-3</v>
      </c>
      <c r="S90" s="315">
        <v>219.89179999999999</v>
      </c>
      <c r="T90" s="266"/>
      <c r="U90" s="316">
        <v>14</v>
      </c>
      <c r="V90" s="316">
        <v>5113</v>
      </c>
      <c r="W90" s="266"/>
      <c r="X90" s="327">
        <f t="shared" si="0"/>
        <v>17</v>
      </c>
      <c r="Y90" s="317">
        <v>-20.80103888888889</v>
      </c>
      <c r="Z90" s="317">
        <v>-20.80103888888889</v>
      </c>
      <c r="AA90" s="328"/>
      <c r="AB90" s="329">
        <f t="shared" ref="AB90" si="16">AB89+1</f>
        <v>17</v>
      </c>
      <c r="AC90" s="321">
        <v>-0.16465277777777776</v>
      </c>
      <c r="AD90" s="321">
        <v>-0.16465277777777776</v>
      </c>
      <c r="AE90" s="266"/>
      <c r="AF90" s="266"/>
      <c r="AG90" s="266"/>
      <c r="AH90" s="266"/>
      <c r="AI90" s="266"/>
      <c r="AJ90" s="266"/>
    </row>
    <row r="91" spans="1:36">
      <c r="A91" s="266"/>
      <c r="B91" s="279">
        <v>15</v>
      </c>
      <c r="C91" s="280">
        <v>5315.5060000000003</v>
      </c>
      <c r="D91" s="281">
        <v>120.69119999999999</v>
      </c>
      <c r="E91" s="282">
        <v>327.0453</v>
      </c>
      <c r="F91" s="283">
        <v>198.9641</v>
      </c>
      <c r="G91" s="284"/>
      <c r="H91" s="305">
        <v>14</v>
      </c>
      <c r="I91" s="306">
        <v>4961</v>
      </c>
      <c r="J91" s="307">
        <v>5</v>
      </c>
      <c r="K91" s="307">
        <v>1</v>
      </c>
      <c r="L91" s="308">
        <v>209.79660000000001</v>
      </c>
      <c r="M91" s="309">
        <v>209.56299999999999</v>
      </c>
      <c r="N91" s="310">
        <v>208.10290000000001</v>
      </c>
      <c r="O91" s="311">
        <v>15.430199999999999</v>
      </c>
      <c r="P91" s="312">
        <v>110.8065</v>
      </c>
      <c r="Q91" s="313">
        <v>358.30630000000002</v>
      </c>
      <c r="R91" s="314">
        <v>-1.766E-3</v>
      </c>
      <c r="S91" s="315">
        <v>209.79660000000001</v>
      </c>
      <c r="T91" s="266"/>
      <c r="U91" s="316">
        <v>15</v>
      </c>
      <c r="V91" s="316">
        <v>5478</v>
      </c>
      <c r="W91" s="266"/>
      <c r="X91" s="327">
        <f t="shared" si="0"/>
        <v>18</v>
      </c>
      <c r="Y91" s="317">
        <v>-20.60262777777778</v>
      </c>
      <c r="Z91" s="317">
        <v>-20.60262777777778</v>
      </c>
      <c r="AA91" s="328"/>
      <c r="AB91" s="329">
        <f t="shared" ref="AB91" si="17">AB90+1</f>
        <v>18</v>
      </c>
      <c r="AC91" s="321">
        <v>-0.170125</v>
      </c>
      <c r="AD91" s="321">
        <v>-0.170125</v>
      </c>
      <c r="AE91" s="266"/>
      <c r="AF91" s="266"/>
      <c r="AG91" s="266"/>
      <c r="AH91" s="266"/>
      <c r="AI91" s="266"/>
      <c r="AJ91" s="266"/>
    </row>
    <row r="92" spans="1:36">
      <c r="A92" s="266"/>
      <c r="B92" s="279">
        <v>16</v>
      </c>
      <c r="C92" s="280">
        <v>5669.8729999999996</v>
      </c>
      <c r="D92" s="281">
        <v>128.7372</v>
      </c>
      <c r="E92" s="282">
        <v>276.84829999999999</v>
      </c>
      <c r="F92" s="283">
        <v>188.22839999999999</v>
      </c>
      <c r="G92" s="284"/>
      <c r="H92" s="305">
        <v>15</v>
      </c>
      <c r="I92" s="306">
        <v>5315</v>
      </c>
      <c r="J92" s="307">
        <v>2</v>
      </c>
      <c r="K92" s="307">
        <v>0</v>
      </c>
      <c r="L92" s="308">
        <v>198.7157</v>
      </c>
      <c r="M92" s="309">
        <v>198.46549999999999</v>
      </c>
      <c r="N92" s="310">
        <v>192.54730000000001</v>
      </c>
      <c r="O92" s="311">
        <v>320.43770000000001</v>
      </c>
      <c r="P92" s="312">
        <v>113.9965</v>
      </c>
      <c r="Q92" s="313">
        <v>353.83150000000001</v>
      </c>
      <c r="R92" s="314">
        <v>-1.892E-3</v>
      </c>
      <c r="S92" s="315">
        <v>198.7158</v>
      </c>
      <c r="T92" s="266"/>
      <c r="U92" s="316">
        <v>16</v>
      </c>
      <c r="V92" s="316">
        <v>5844</v>
      </c>
      <c r="W92" s="266"/>
      <c r="X92" s="327">
        <f t="shared" si="0"/>
        <v>19</v>
      </c>
      <c r="Y92" s="317">
        <v>-20.397713888888887</v>
      </c>
      <c r="Z92" s="317">
        <v>-20.397713888888887</v>
      </c>
      <c r="AA92" s="328"/>
      <c r="AB92" s="329">
        <f t="shared" ref="AB92" si="18">AB91+1</f>
        <v>19</v>
      </c>
      <c r="AC92" s="321">
        <v>-0.1753972222222222</v>
      </c>
      <c r="AD92" s="321">
        <v>-0.1753972222222222</v>
      </c>
      <c r="AE92" s="266"/>
      <c r="AF92" s="266"/>
      <c r="AG92" s="266"/>
      <c r="AH92" s="266"/>
      <c r="AI92" s="266"/>
      <c r="AJ92" s="266"/>
    </row>
    <row r="93" spans="1:36">
      <c r="A93" s="266"/>
      <c r="B93" s="279">
        <v>17</v>
      </c>
      <c r="C93" s="280">
        <v>6024.2401</v>
      </c>
      <c r="D93" s="281">
        <v>136.7833</v>
      </c>
      <c r="E93" s="282">
        <v>226.65129999999999</v>
      </c>
      <c r="F93" s="283">
        <v>177.49260000000001</v>
      </c>
      <c r="G93" s="284"/>
      <c r="H93" s="305">
        <v>16</v>
      </c>
      <c r="I93" s="306">
        <v>5669</v>
      </c>
      <c r="J93" s="307">
        <v>6</v>
      </c>
      <c r="K93" s="307">
        <v>4</v>
      </c>
      <c r="L93" s="308">
        <v>187.63489999999999</v>
      </c>
      <c r="M93" s="309">
        <v>187.36799999999999</v>
      </c>
      <c r="N93" s="310">
        <v>176.99160000000001</v>
      </c>
      <c r="O93" s="311">
        <v>265.44529999999997</v>
      </c>
      <c r="P93" s="312">
        <v>117.18640000000001</v>
      </c>
      <c r="Q93" s="313">
        <v>349.35669999999999</v>
      </c>
      <c r="R93" s="314">
        <v>-2.0179999999999998E-3</v>
      </c>
      <c r="S93" s="315">
        <v>187.63489999999999</v>
      </c>
      <c r="T93" s="266"/>
      <c r="U93" s="316">
        <v>17</v>
      </c>
      <c r="V93" s="316">
        <v>6209</v>
      </c>
      <c r="W93" s="266"/>
      <c r="X93" s="327">
        <f t="shared" si="0"/>
        <v>20</v>
      </c>
      <c r="Y93" s="317">
        <v>-20.186388888888889</v>
      </c>
      <c r="Z93" s="317">
        <v>-20.186388888888889</v>
      </c>
      <c r="AA93" s="328"/>
      <c r="AB93" s="329">
        <f t="shared" ref="AB93" si="19">AB92+1</f>
        <v>20</v>
      </c>
      <c r="AC93" s="321">
        <v>-0.18046944444444443</v>
      </c>
      <c r="AD93" s="321">
        <v>-0.18046944444444443</v>
      </c>
      <c r="AE93" s="266"/>
      <c r="AF93" s="266"/>
      <c r="AG93" s="266"/>
      <c r="AH93" s="266"/>
      <c r="AI93" s="266"/>
      <c r="AJ93" s="266"/>
    </row>
    <row r="94" spans="1:36">
      <c r="A94" s="266"/>
      <c r="B94" s="279">
        <v>18</v>
      </c>
      <c r="C94" s="280">
        <v>6378.6072000000004</v>
      </c>
      <c r="D94" s="281">
        <v>144.82939999999999</v>
      </c>
      <c r="E94" s="282">
        <v>176.45429999999999</v>
      </c>
      <c r="F94" s="283">
        <v>166.7569</v>
      </c>
      <c r="G94" s="284"/>
      <c r="H94" s="305">
        <v>17</v>
      </c>
      <c r="I94" s="306">
        <v>6024</v>
      </c>
      <c r="J94" s="307">
        <v>4</v>
      </c>
      <c r="K94" s="307">
        <v>4</v>
      </c>
      <c r="L94" s="308">
        <v>177.53970000000001</v>
      </c>
      <c r="M94" s="309">
        <v>177.2561</v>
      </c>
      <c r="N94" s="310">
        <v>174.6123</v>
      </c>
      <c r="O94" s="311">
        <v>223.51779999999999</v>
      </c>
      <c r="P94" s="312">
        <v>133.60579999999999</v>
      </c>
      <c r="Q94" s="313">
        <v>357.07260000000002</v>
      </c>
      <c r="R94" s="314">
        <v>-2.1450000000000002E-3</v>
      </c>
      <c r="S94" s="315">
        <v>177.53970000000001</v>
      </c>
      <c r="T94" s="266"/>
      <c r="U94" s="316">
        <v>18</v>
      </c>
      <c r="V94" s="316">
        <v>6574</v>
      </c>
      <c r="W94" s="266"/>
      <c r="X94" s="327">
        <f t="shared" si="0"/>
        <v>21</v>
      </c>
      <c r="Y94" s="317">
        <v>-19.968744444444443</v>
      </c>
      <c r="Z94" s="317">
        <v>-19.968744444444443</v>
      </c>
      <c r="AA94" s="328"/>
      <c r="AB94" s="329">
        <f t="shared" ref="AB94" si="20">AB93+1</f>
        <v>21</v>
      </c>
      <c r="AC94" s="321">
        <v>-0.18533333333333332</v>
      </c>
      <c r="AD94" s="321">
        <v>-0.18533333333333332</v>
      </c>
      <c r="AE94" s="266"/>
      <c r="AF94" s="266"/>
      <c r="AG94" s="266"/>
      <c r="AH94" s="266"/>
      <c r="AI94" s="266"/>
      <c r="AJ94" s="266"/>
    </row>
    <row r="95" spans="1:36">
      <c r="A95" s="266"/>
      <c r="B95" s="279">
        <v>19</v>
      </c>
      <c r="C95" s="280">
        <v>6732.9741999999997</v>
      </c>
      <c r="D95" s="281">
        <v>152.87549999999999</v>
      </c>
      <c r="E95" s="282">
        <v>126.2573</v>
      </c>
      <c r="F95" s="283">
        <v>156.02119999999999</v>
      </c>
      <c r="G95" s="284"/>
      <c r="H95" s="305">
        <v>18</v>
      </c>
      <c r="I95" s="306">
        <v>6378</v>
      </c>
      <c r="J95" s="307">
        <v>1</v>
      </c>
      <c r="K95" s="307">
        <v>3</v>
      </c>
      <c r="L95" s="308">
        <v>166.4589</v>
      </c>
      <c r="M95" s="309">
        <v>166.15860000000001</v>
      </c>
      <c r="N95" s="310">
        <v>159.05670000000001</v>
      </c>
      <c r="O95" s="311">
        <v>168.52529999999999</v>
      </c>
      <c r="P95" s="312">
        <v>136.79570000000001</v>
      </c>
      <c r="Q95" s="313">
        <v>352.59780000000001</v>
      </c>
      <c r="R95" s="314">
        <v>-2.271E-3</v>
      </c>
      <c r="S95" s="315">
        <v>166.4589</v>
      </c>
      <c r="T95" s="266"/>
      <c r="U95" s="316">
        <v>19</v>
      </c>
      <c r="V95" s="316">
        <v>6939</v>
      </c>
      <c r="W95" s="266"/>
      <c r="X95" s="327">
        <f t="shared" si="0"/>
        <v>22</v>
      </c>
      <c r="Y95" s="317">
        <v>-19.744880555555557</v>
      </c>
      <c r="Z95" s="317">
        <v>-19.744880555555557</v>
      </c>
      <c r="AA95" s="328"/>
      <c r="AB95" s="329">
        <f t="shared" ref="AB95" si="21">AB94+1</f>
        <v>22</v>
      </c>
      <c r="AC95" s="321">
        <v>-0.18998888888888887</v>
      </c>
      <c r="AD95" s="321">
        <v>-0.18998888888888887</v>
      </c>
      <c r="AE95" s="266"/>
      <c r="AF95" s="266"/>
      <c r="AG95" s="266"/>
      <c r="AH95" s="266"/>
      <c r="AI95" s="266"/>
      <c r="AJ95" s="266"/>
    </row>
    <row r="96" spans="1:36">
      <c r="A96" s="266"/>
      <c r="B96" s="279">
        <v>20</v>
      </c>
      <c r="C96" s="280">
        <v>7087.3413</v>
      </c>
      <c r="D96" s="281">
        <v>160.92160000000001</v>
      </c>
      <c r="E96" s="282">
        <v>76.060299999999998</v>
      </c>
      <c r="F96" s="283">
        <v>145.28550000000001</v>
      </c>
      <c r="G96" s="284"/>
      <c r="H96" s="305">
        <v>19</v>
      </c>
      <c r="I96" s="306">
        <v>6732</v>
      </c>
      <c r="J96" s="307">
        <v>5</v>
      </c>
      <c r="K96" s="307">
        <v>2</v>
      </c>
      <c r="L96" s="308">
        <v>155.37799999999999</v>
      </c>
      <c r="M96" s="309">
        <v>155.06110000000001</v>
      </c>
      <c r="N96" s="310">
        <v>143.501</v>
      </c>
      <c r="O96" s="311">
        <v>113.5329</v>
      </c>
      <c r="P96" s="312">
        <v>139.98570000000001</v>
      </c>
      <c r="Q96" s="313">
        <v>348.12299999999999</v>
      </c>
      <c r="R96" s="314">
        <v>-2.3969999999999998E-3</v>
      </c>
      <c r="S96" s="315">
        <v>155.37809999999999</v>
      </c>
      <c r="T96" s="343"/>
      <c r="U96" s="316">
        <v>20</v>
      </c>
      <c r="V96" s="316">
        <v>7305</v>
      </c>
      <c r="W96" s="266"/>
      <c r="X96" s="327">
        <f t="shared" si="0"/>
        <v>23</v>
      </c>
      <c r="Y96" s="317">
        <v>-19.514894444444444</v>
      </c>
      <c r="Z96" s="317">
        <v>-19.514894444444444</v>
      </c>
      <c r="AA96" s="328"/>
      <c r="AB96" s="329">
        <f t="shared" ref="AB96" si="22">AB95+1</f>
        <v>23</v>
      </c>
      <c r="AC96" s="321">
        <v>-0.19443055555555555</v>
      </c>
      <c r="AD96" s="321">
        <v>-0.19443055555555555</v>
      </c>
      <c r="AE96" s="266"/>
      <c r="AF96" s="266"/>
      <c r="AG96" s="266"/>
      <c r="AH96" s="266"/>
      <c r="AI96" s="266"/>
      <c r="AJ96" s="266"/>
    </row>
    <row r="97" spans="1:36">
      <c r="A97" s="266"/>
      <c r="B97" s="279">
        <v>21</v>
      </c>
      <c r="C97" s="280">
        <v>7441.7083000000002</v>
      </c>
      <c r="D97" s="281">
        <v>168.9676</v>
      </c>
      <c r="E97" s="282">
        <v>25.863399999999999</v>
      </c>
      <c r="F97" s="283">
        <v>134.5497</v>
      </c>
      <c r="G97" s="284"/>
      <c r="H97" s="305">
        <v>20</v>
      </c>
      <c r="I97" s="306">
        <v>7087</v>
      </c>
      <c r="J97" s="307">
        <v>3</v>
      </c>
      <c r="K97" s="307">
        <v>2</v>
      </c>
      <c r="L97" s="308">
        <v>145.28290000000001</v>
      </c>
      <c r="M97" s="309">
        <v>144.94919999999999</v>
      </c>
      <c r="N97" s="310">
        <v>141.12180000000001</v>
      </c>
      <c r="O97" s="311">
        <v>71.605400000000003</v>
      </c>
      <c r="P97" s="312">
        <v>156.405</v>
      </c>
      <c r="Q97" s="313">
        <v>355.83890000000002</v>
      </c>
      <c r="R97" s="314">
        <v>-2.5230000000000001E-3</v>
      </c>
      <c r="S97" s="315">
        <v>145.28290000000001</v>
      </c>
      <c r="T97" s="266"/>
      <c r="U97" s="316">
        <v>21</v>
      </c>
      <c r="V97" s="316">
        <v>7670</v>
      </c>
      <c r="W97" s="266"/>
      <c r="X97" s="327">
        <f t="shared" si="0"/>
        <v>24</v>
      </c>
      <c r="Y97" s="317">
        <v>-19.278891666666667</v>
      </c>
      <c r="Z97" s="317">
        <v>-19.278891666666667</v>
      </c>
      <c r="AA97" s="328"/>
      <c r="AB97" s="329">
        <f t="shared" ref="AB97" si="23">AB96+1</f>
        <v>24</v>
      </c>
      <c r="AC97" s="321">
        <v>-0.19865555555555553</v>
      </c>
      <c r="AD97" s="321">
        <v>-0.19865555555555553</v>
      </c>
      <c r="AE97" s="266"/>
      <c r="AF97" s="266"/>
      <c r="AG97" s="266"/>
      <c r="AH97" s="266"/>
      <c r="AI97" s="266"/>
      <c r="AJ97" s="266"/>
    </row>
    <row r="98" spans="1:36">
      <c r="A98" s="266"/>
      <c r="B98" s="279">
        <v>22</v>
      </c>
      <c r="C98" s="280">
        <v>7796.0753999999997</v>
      </c>
      <c r="D98" s="281">
        <v>177.0137</v>
      </c>
      <c r="E98" s="282">
        <v>335.66640000000001</v>
      </c>
      <c r="F98" s="283">
        <v>123.81399999999999</v>
      </c>
      <c r="G98" s="284"/>
      <c r="H98" s="305">
        <v>21</v>
      </c>
      <c r="I98" s="306">
        <v>7441</v>
      </c>
      <c r="J98" s="307">
        <v>0</v>
      </c>
      <c r="K98" s="307">
        <v>1</v>
      </c>
      <c r="L98" s="308">
        <v>134.202</v>
      </c>
      <c r="M98" s="309">
        <v>133.85169999999999</v>
      </c>
      <c r="N98" s="310">
        <v>125.56610000000001</v>
      </c>
      <c r="O98" s="311">
        <v>16.6129</v>
      </c>
      <c r="P98" s="312">
        <v>159.595</v>
      </c>
      <c r="Q98" s="313">
        <v>351.36410000000001</v>
      </c>
      <c r="R98" s="314">
        <v>-2.6489999999999999E-3</v>
      </c>
      <c r="S98" s="315">
        <v>134.2021</v>
      </c>
      <c r="T98" s="266"/>
      <c r="U98" s="316">
        <v>22</v>
      </c>
      <c r="V98" s="316">
        <v>8035</v>
      </c>
      <c r="W98" s="266"/>
      <c r="X98" s="327">
        <f t="shared" si="0"/>
        <v>25</v>
      </c>
      <c r="Y98" s="317">
        <v>-19.036969444444445</v>
      </c>
      <c r="Z98" s="317">
        <v>-19.036969444444445</v>
      </c>
      <c r="AA98" s="328"/>
      <c r="AB98" s="329">
        <f t="shared" ref="AB98" si="24">AB97+1</f>
        <v>25</v>
      </c>
      <c r="AC98" s="321">
        <v>-0.20266388888888889</v>
      </c>
      <c r="AD98" s="321">
        <v>-0.20266388888888889</v>
      </c>
      <c r="AE98" s="266"/>
      <c r="AF98" s="266"/>
      <c r="AG98" s="266"/>
      <c r="AH98" s="266"/>
      <c r="AI98" s="266"/>
      <c r="AJ98" s="266"/>
    </row>
    <row r="99" spans="1:36">
      <c r="A99" s="266"/>
      <c r="B99" s="279">
        <v>23</v>
      </c>
      <c r="C99" s="280">
        <v>8150.4425000000001</v>
      </c>
      <c r="D99" s="281">
        <v>185.0598</v>
      </c>
      <c r="E99" s="282">
        <v>285.46940000000001</v>
      </c>
      <c r="F99" s="283">
        <v>113.0783</v>
      </c>
      <c r="G99" s="284"/>
      <c r="H99" s="305">
        <v>22</v>
      </c>
      <c r="I99" s="306">
        <v>7796</v>
      </c>
      <c r="J99" s="307">
        <v>5</v>
      </c>
      <c r="K99" s="307">
        <v>1</v>
      </c>
      <c r="L99" s="308">
        <v>124.10680000000001</v>
      </c>
      <c r="M99" s="309">
        <v>123.7398</v>
      </c>
      <c r="N99" s="310">
        <v>123.18689999999999</v>
      </c>
      <c r="O99" s="311">
        <v>334.68549999999999</v>
      </c>
      <c r="P99" s="312">
        <v>176.01429999999999</v>
      </c>
      <c r="Q99" s="313">
        <v>359.08</v>
      </c>
      <c r="R99" s="314">
        <v>-2.7759999999999998E-3</v>
      </c>
      <c r="S99" s="315">
        <v>124.1069</v>
      </c>
      <c r="T99" s="266"/>
      <c r="U99" s="316">
        <v>23</v>
      </c>
      <c r="V99" s="316">
        <v>8400</v>
      </c>
      <c r="W99" s="266"/>
      <c r="X99" s="327">
        <f t="shared" si="0"/>
        <v>26</v>
      </c>
      <c r="Y99" s="317">
        <v>-18.789233333333335</v>
      </c>
      <c r="Z99" s="317">
        <v>-18.789233333333335</v>
      </c>
      <c r="AA99" s="328"/>
      <c r="AB99" s="329">
        <f t="shared" ref="AB99" si="25">AB98+1</f>
        <v>26</v>
      </c>
      <c r="AC99" s="321">
        <v>-0.20645277777777779</v>
      </c>
      <c r="AD99" s="321">
        <v>-0.20645277777777779</v>
      </c>
      <c r="AE99" s="266"/>
      <c r="AF99" s="266"/>
      <c r="AG99" s="266"/>
      <c r="AH99" s="266"/>
      <c r="AI99" s="266"/>
      <c r="AJ99" s="266"/>
    </row>
    <row r="100" spans="1:36">
      <c r="A100" s="266"/>
      <c r="B100" s="279">
        <v>24</v>
      </c>
      <c r="C100" s="280">
        <v>8504.8094999999994</v>
      </c>
      <c r="D100" s="281">
        <v>193.10589999999999</v>
      </c>
      <c r="E100" s="282">
        <v>235.2724</v>
      </c>
      <c r="F100" s="283">
        <v>102.3426</v>
      </c>
      <c r="G100" s="284"/>
      <c r="H100" s="305">
        <v>23</v>
      </c>
      <c r="I100" s="306">
        <v>8150</v>
      </c>
      <c r="J100" s="307">
        <v>2</v>
      </c>
      <c r="K100" s="307">
        <v>0</v>
      </c>
      <c r="L100" s="308">
        <v>113.026</v>
      </c>
      <c r="M100" s="309">
        <v>112.64230000000001</v>
      </c>
      <c r="N100" s="310">
        <v>107.63120000000001</v>
      </c>
      <c r="O100" s="311">
        <v>279.69299999999998</v>
      </c>
      <c r="P100" s="312">
        <v>179.20429999999999</v>
      </c>
      <c r="Q100" s="313">
        <v>354.60520000000002</v>
      </c>
      <c r="R100" s="314">
        <v>-2.9020000000000001E-3</v>
      </c>
      <c r="S100" s="315">
        <v>113.0261</v>
      </c>
      <c r="T100" s="266"/>
      <c r="U100" s="316">
        <v>24</v>
      </c>
      <c r="V100" s="316">
        <v>8766</v>
      </c>
      <c r="W100" s="266"/>
      <c r="X100" s="327">
        <f t="shared" si="0"/>
        <v>27</v>
      </c>
      <c r="Y100" s="317">
        <v>-18.535788888888892</v>
      </c>
      <c r="Z100" s="317">
        <v>-18.535788888888892</v>
      </c>
      <c r="AA100" s="328"/>
      <c r="AB100" s="329">
        <f t="shared" ref="AB100" si="26">AB99+1</f>
        <v>27</v>
      </c>
      <c r="AC100" s="321">
        <v>-0.21001666666666668</v>
      </c>
      <c r="AD100" s="321">
        <v>-0.21001666666666668</v>
      </c>
      <c r="AE100" s="266"/>
      <c r="AF100" s="266"/>
      <c r="AG100" s="266"/>
      <c r="AH100" s="266"/>
      <c r="AI100" s="266"/>
      <c r="AJ100" s="266"/>
    </row>
    <row r="101" spans="1:36">
      <c r="A101" s="266"/>
      <c r="B101" s="279">
        <v>25</v>
      </c>
      <c r="C101" s="280">
        <v>8859.1766000000007</v>
      </c>
      <c r="D101" s="281">
        <v>201.15190000000001</v>
      </c>
      <c r="E101" s="282">
        <v>185.0754</v>
      </c>
      <c r="F101" s="283">
        <v>91.606800000000007</v>
      </c>
      <c r="G101" s="284"/>
      <c r="H101" s="305">
        <v>24</v>
      </c>
      <c r="I101" s="306">
        <v>8504</v>
      </c>
      <c r="J101" s="307">
        <v>6</v>
      </c>
      <c r="K101" s="307">
        <v>4</v>
      </c>
      <c r="L101" s="308">
        <v>101.9452</v>
      </c>
      <c r="M101" s="309">
        <v>101.5448</v>
      </c>
      <c r="N101" s="310">
        <v>92.075599999999994</v>
      </c>
      <c r="O101" s="311">
        <v>224.70060000000001</v>
      </c>
      <c r="P101" s="312">
        <v>182.39429999999999</v>
      </c>
      <c r="Q101" s="313">
        <v>350.13040000000001</v>
      </c>
      <c r="R101" s="314">
        <v>-3.0279999999999999E-3</v>
      </c>
      <c r="S101" s="315">
        <v>101.9452</v>
      </c>
      <c r="T101" s="266"/>
      <c r="U101" s="316">
        <v>25</v>
      </c>
      <c r="V101" s="316">
        <v>9131</v>
      </c>
      <c r="W101" s="266"/>
      <c r="X101" s="327">
        <f t="shared" si="0"/>
        <v>28</v>
      </c>
      <c r="Y101" s="317">
        <v>-18.276741666666666</v>
      </c>
      <c r="Z101" s="317">
        <v>-18.276741666666666</v>
      </c>
      <c r="AA101" s="328"/>
      <c r="AB101" s="329">
        <f t="shared" ref="AB101" si="27">AB100+1</f>
        <v>28</v>
      </c>
      <c r="AC101" s="321">
        <v>-0.21335833333333334</v>
      </c>
      <c r="AD101" s="321">
        <v>-0.21335833333333334</v>
      </c>
      <c r="AE101" s="266"/>
      <c r="AF101" s="266"/>
      <c r="AG101" s="266"/>
      <c r="AH101" s="266"/>
      <c r="AI101" s="266"/>
      <c r="AJ101" s="266"/>
    </row>
    <row r="102" spans="1:36">
      <c r="A102" s="266"/>
      <c r="B102" s="279">
        <v>26</v>
      </c>
      <c r="C102" s="280">
        <v>9213.5437000000002</v>
      </c>
      <c r="D102" s="281">
        <v>209.19800000000001</v>
      </c>
      <c r="E102" s="282">
        <v>134.8784</v>
      </c>
      <c r="F102" s="283">
        <v>80.871099999999998</v>
      </c>
      <c r="G102" s="284"/>
      <c r="H102" s="305">
        <v>25</v>
      </c>
      <c r="I102" s="306">
        <v>8859</v>
      </c>
      <c r="J102" s="307">
        <v>4</v>
      </c>
      <c r="K102" s="307">
        <v>4</v>
      </c>
      <c r="L102" s="308">
        <v>91.85</v>
      </c>
      <c r="M102" s="309">
        <v>91.432900000000004</v>
      </c>
      <c r="N102" s="310">
        <v>89.696299999999994</v>
      </c>
      <c r="O102" s="311">
        <v>182.7731</v>
      </c>
      <c r="P102" s="312">
        <v>198.81360000000001</v>
      </c>
      <c r="Q102" s="313">
        <v>357.84629999999999</v>
      </c>
      <c r="R102" s="314">
        <v>-3.1540000000000001E-3</v>
      </c>
      <c r="S102" s="315">
        <v>91.85</v>
      </c>
      <c r="T102" s="266"/>
      <c r="U102" s="316">
        <v>26</v>
      </c>
      <c r="V102" s="316">
        <v>9496</v>
      </c>
      <c r="W102" s="266"/>
      <c r="X102" s="327">
        <f t="shared" si="0"/>
        <v>29</v>
      </c>
      <c r="Y102" s="317">
        <v>-18.012205555555557</v>
      </c>
      <c r="Z102" s="317">
        <v>-18.012205555555557</v>
      </c>
      <c r="AA102" s="328"/>
      <c r="AB102" s="329">
        <f t="shared" ref="AB102" si="28">AB101+1</f>
        <v>29</v>
      </c>
      <c r="AC102" s="321">
        <v>-0.216475</v>
      </c>
      <c r="AD102" s="321">
        <v>-0.216475</v>
      </c>
      <c r="AE102" s="266"/>
      <c r="AF102" s="266"/>
      <c r="AG102" s="266"/>
      <c r="AH102" s="266"/>
      <c r="AI102" s="266"/>
      <c r="AJ102" s="266"/>
    </row>
    <row r="103" spans="1:36">
      <c r="A103" s="266"/>
      <c r="B103" s="279">
        <v>27</v>
      </c>
      <c r="C103" s="280">
        <v>9567.9107000000004</v>
      </c>
      <c r="D103" s="281">
        <v>217.2441</v>
      </c>
      <c r="E103" s="282">
        <v>84.6815</v>
      </c>
      <c r="F103" s="283">
        <v>70.135400000000004</v>
      </c>
      <c r="G103" s="284"/>
      <c r="H103" s="305">
        <v>26</v>
      </c>
      <c r="I103" s="306">
        <v>9213</v>
      </c>
      <c r="J103" s="307">
        <v>1</v>
      </c>
      <c r="K103" s="307">
        <v>3</v>
      </c>
      <c r="L103" s="308">
        <v>80.769099999999995</v>
      </c>
      <c r="M103" s="309">
        <v>80.335400000000007</v>
      </c>
      <c r="N103" s="310">
        <v>74.140699999999995</v>
      </c>
      <c r="O103" s="311">
        <v>127.7807</v>
      </c>
      <c r="P103" s="312">
        <v>202.0035</v>
      </c>
      <c r="Q103" s="313">
        <v>353.37150000000003</v>
      </c>
      <c r="R103" s="314">
        <v>-3.2799999999999999E-3</v>
      </c>
      <c r="S103" s="315">
        <v>80.769199999999998</v>
      </c>
      <c r="T103" s="266"/>
      <c r="U103" s="316">
        <v>27</v>
      </c>
      <c r="V103" s="316">
        <v>9861</v>
      </c>
      <c r="W103" s="266"/>
      <c r="X103" s="327">
        <f t="shared" si="0"/>
        <v>30</v>
      </c>
      <c r="Y103" s="317">
        <v>-17.742280555555556</v>
      </c>
      <c r="Z103" s="317">
        <v>-17.742280555555556</v>
      </c>
      <c r="AA103" s="328"/>
      <c r="AB103" s="329">
        <f t="shared" ref="AB103" si="29">AB102+1</f>
        <v>30</v>
      </c>
      <c r="AC103" s="321">
        <v>-0.21936388888888889</v>
      </c>
      <c r="AD103" s="321">
        <v>-0.21936388888888889</v>
      </c>
      <c r="AE103" s="266"/>
      <c r="AF103" s="266"/>
      <c r="AG103" s="266"/>
      <c r="AH103" s="266"/>
      <c r="AI103" s="266"/>
      <c r="AJ103" s="266"/>
    </row>
    <row r="104" spans="1:36">
      <c r="A104" s="266"/>
      <c r="B104" s="279">
        <v>28</v>
      </c>
      <c r="C104" s="280">
        <v>9922.2777999999998</v>
      </c>
      <c r="D104" s="281">
        <v>225.2902</v>
      </c>
      <c r="E104" s="282">
        <v>34.484499999999997</v>
      </c>
      <c r="F104" s="283">
        <v>59.3996</v>
      </c>
      <c r="G104" s="284"/>
      <c r="H104" s="305">
        <v>27</v>
      </c>
      <c r="I104" s="306">
        <v>9567</v>
      </c>
      <c r="J104" s="307">
        <v>5</v>
      </c>
      <c r="K104" s="307">
        <v>2</v>
      </c>
      <c r="L104" s="308">
        <v>69.688299999999998</v>
      </c>
      <c r="M104" s="309">
        <v>69.237899999999996</v>
      </c>
      <c r="N104" s="310">
        <v>58.585000000000001</v>
      </c>
      <c r="O104" s="311">
        <v>72.788200000000003</v>
      </c>
      <c r="P104" s="312">
        <v>205.1935</v>
      </c>
      <c r="Q104" s="313">
        <v>348.89670000000001</v>
      </c>
      <c r="R104" s="314">
        <v>-3.4060000000000002E-3</v>
      </c>
      <c r="S104" s="315">
        <v>69.688400000000001</v>
      </c>
      <c r="T104" s="266"/>
      <c r="U104" s="316">
        <v>28</v>
      </c>
      <c r="V104" s="316">
        <v>10227</v>
      </c>
      <c r="W104" s="266"/>
      <c r="X104" s="327">
        <f t="shared" si="0"/>
        <v>31</v>
      </c>
      <c r="Y104" s="317">
        <v>-17.467083333333331</v>
      </c>
      <c r="Z104" s="317">
        <v>-17.467083333333331</v>
      </c>
      <c r="AA104" s="328"/>
      <c r="AB104" s="329">
        <f t="shared" ref="AB104" si="30">AB103+1</f>
        <v>31</v>
      </c>
      <c r="AC104" s="321">
        <v>-0.22203055555555556</v>
      </c>
      <c r="AD104" s="321">
        <v>-0.22203055555555556</v>
      </c>
      <c r="AE104" s="266"/>
      <c r="AF104" s="266"/>
      <c r="AG104" s="266"/>
      <c r="AH104" s="266"/>
      <c r="AI104" s="266"/>
      <c r="AJ104" s="266"/>
    </row>
    <row r="105" spans="1:36">
      <c r="A105" s="266"/>
      <c r="B105" s="279">
        <v>29</v>
      </c>
      <c r="C105" s="280">
        <v>10276.644899999999</v>
      </c>
      <c r="D105" s="281">
        <v>233.33619999999999</v>
      </c>
      <c r="E105" s="282">
        <v>344.28750000000002</v>
      </c>
      <c r="F105" s="283">
        <v>48.663899999999998</v>
      </c>
      <c r="G105" s="284"/>
      <c r="H105" s="305">
        <v>28</v>
      </c>
      <c r="I105" s="306">
        <v>9922</v>
      </c>
      <c r="J105" s="307">
        <v>3</v>
      </c>
      <c r="K105" s="307">
        <v>2</v>
      </c>
      <c r="L105" s="308">
        <v>59.5931</v>
      </c>
      <c r="M105" s="309">
        <v>59.125999999999998</v>
      </c>
      <c r="N105" s="310">
        <v>56.205800000000004</v>
      </c>
      <c r="O105" s="311">
        <v>30.860800000000001</v>
      </c>
      <c r="P105" s="312">
        <v>221.61279999999999</v>
      </c>
      <c r="Q105" s="313">
        <v>356.61259999999999</v>
      </c>
      <c r="R105" s="314">
        <v>-3.5330000000000001E-3</v>
      </c>
      <c r="S105" s="315">
        <v>59.593200000000003</v>
      </c>
      <c r="T105" s="266"/>
      <c r="U105" s="316">
        <v>29</v>
      </c>
      <c r="V105" s="316">
        <v>10592</v>
      </c>
      <c r="W105" s="266"/>
      <c r="X105" s="327">
        <f t="shared" si="0"/>
        <v>32</v>
      </c>
      <c r="Y105" s="317">
        <v>-17.186724999999999</v>
      </c>
      <c r="Z105" s="317">
        <v>-17.186724999999999</v>
      </c>
      <c r="AA105" s="328"/>
      <c r="AB105" s="329">
        <f t="shared" ref="AB105" si="31">AB104+1</f>
        <v>32</v>
      </c>
      <c r="AC105" s="321">
        <v>-0.22446666666666668</v>
      </c>
      <c r="AD105" s="321">
        <v>-0.22446666666666668</v>
      </c>
      <c r="AE105" s="266"/>
      <c r="AF105" s="266"/>
      <c r="AG105" s="266"/>
      <c r="AH105" s="266"/>
      <c r="AI105" s="266"/>
      <c r="AJ105" s="266"/>
    </row>
    <row r="106" spans="1:36">
      <c r="A106" s="266"/>
      <c r="B106" s="279">
        <v>30</v>
      </c>
      <c r="C106" s="280">
        <v>10631.0119</v>
      </c>
      <c r="D106" s="281">
        <v>241.38229999999999</v>
      </c>
      <c r="E106" s="282">
        <v>294.09050000000002</v>
      </c>
      <c r="F106" s="283">
        <v>37.928199999999997</v>
      </c>
      <c r="G106" s="284"/>
      <c r="H106" s="305">
        <v>29</v>
      </c>
      <c r="I106" s="306">
        <v>10276</v>
      </c>
      <c r="J106" s="307">
        <v>0</v>
      </c>
      <c r="K106" s="307">
        <v>1</v>
      </c>
      <c r="L106" s="308">
        <v>48.512300000000003</v>
      </c>
      <c r="M106" s="309">
        <v>48.028500000000001</v>
      </c>
      <c r="N106" s="310">
        <v>40.650100000000002</v>
      </c>
      <c r="O106" s="311">
        <v>335.86829999999998</v>
      </c>
      <c r="P106" s="312">
        <v>224.80279999999999</v>
      </c>
      <c r="Q106" s="313">
        <v>352.13780000000003</v>
      </c>
      <c r="R106" s="314">
        <v>-3.6589999999999999E-3</v>
      </c>
      <c r="S106" s="315">
        <v>48.5124</v>
      </c>
      <c r="T106" s="266"/>
      <c r="U106" s="316">
        <v>30</v>
      </c>
      <c r="V106" s="316">
        <v>10957</v>
      </c>
      <c r="W106" s="266"/>
      <c r="X106" s="327">
        <f t="shared" si="0"/>
        <v>33</v>
      </c>
      <c r="Y106" s="317">
        <v>-16.901313888888886</v>
      </c>
      <c r="Z106" s="317">
        <v>-16.901313888888886</v>
      </c>
      <c r="AA106" s="328"/>
      <c r="AB106" s="329">
        <f t="shared" ref="AB106" si="32">AB105+1</f>
        <v>33</v>
      </c>
      <c r="AC106" s="321">
        <v>-0.22667777777777778</v>
      </c>
      <c r="AD106" s="321">
        <v>-0.22667777777777778</v>
      </c>
      <c r="AE106" s="266"/>
      <c r="AF106" s="266"/>
      <c r="AG106" s="266"/>
      <c r="AH106" s="266"/>
      <c r="AI106" s="266"/>
      <c r="AJ106" s="266"/>
    </row>
    <row r="107" spans="1:36">
      <c r="A107" s="266"/>
      <c r="B107" s="266"/>
      <c r="C107" s="266"/>
      <c r="D107" s="266"/>
      <c r="E107" s="266"/>
      <c r="F107" s="266"/>
      <c r="G107" s="322"/>
      <c r="H107" s="305">
        <v>30</v>
      </c>
      <c r="I107" s="306">
        <v>10631</v>
      </c>
      <c r="J107" s="307">
        <v>5</v>
      </c>
      <c r="K107" s="307">
        <v>1</v>
      </c>
      <c r="L107" s="308">
        <v>38.417099999999998</v>
      </c>
      <c r="M107" s="309">
        <v>37.916600000000003</v>
      </c>
      <c r="N107" s="310">
        <v>38.270800000000001</v>
      </c>
      <c r="O107" s="311">
        <v>293.9409</v>
      </c>
      <c r="P107" s="312">
        <v>241.22210000000001</v>
      </c>
      <c r="Q107" s="313">
        <v>359.8537</v>
      </c>
      <c r="R107" s="314">
        <v>-3.7850000000000002E-3</v>
      </c>
      <c r="S107" s="315">
        <v>38.417200000000001</v>
      </c>
      <c r="T107" s="266"/>
      <c r="U107" s="316">
        <v>31</v>
      </c>
      <c r="V107" s="316">
        <v>11322</v>
      </c>
      <c r="W107" s="266"/>
      <c r="X107" s="327">
        <f t="shared" si="0"/>
        <v>34</v>
      </c>
      <c r="Y107" s="317">
        <v>-16.61096388888889</v>
      </c>
      <c r="Z107" s="317">
        <v>-16.61096388888889</v>
      </c>
      <c r="AA107" s="328"/>
      <c r="AB107" s="329">
        <f t="shared" ref="AB107" si="33">AB106+1</f>
        <v>34</v>
      </c>
      <c r="AC107" s="321">
        <v>-0.22865833333333335</v>
      </c>
      <c r="AD107" s="321">
        <v>-0.22865833333333335</v>
      </c>
      <c r="AE107" s="266"/>
      <c r="AF107" s="266"/>
      <c r="AG107" s="266"/>
      <c r="AH107" s="266"/>
      <c r="AI107" s="266"/>
      <c r="AJ107" s="266"/>
    </row>
    <row r="108" spans="1:36" ht="17.399999999999999">
      <c r="A108" s="266"/>
      <c r="B108" s="779" t="s">
        <v>66</v>
      </c>
      <c r="C108" s="780"/>
      <c r="D108" s="780"/>
      <c r="E108" s="780"/>
      <c r="F108" s="781"/>
      <c r="G108" s="267"/>
      <c r="H108" s="764" t="s">
        <v>67</v>
      </c>
      <c r="I108" s="765"/>
      <c r="J108" s="765"/>
      <c r="K108" s="765"/>
      <c r="L108" s="765"/>
      <c r="M108" s="765"/>
      <c r="N108" s="765"/>
      <c r="O108" s="765"/>
      <c r="P108" s="765"/>
      <c r="Q108" s="765"/>
      <c r="R108" s="765"/>
      <c r="S108" s="766"/>
      <c r="T108" s="266"/>
      <c r="U108" s="316">
        <v>32</v>
      </c>
      <c r="V108" s="316">
        <v>11688</v>
      </c>
      <c r="W108" s="266"/>
      <c r="X108" s="327">
        <f t="shared" si="0"/>
        <v>35</v>
      </c>
      <c r="Y108" s="317">
        <v>-16.315788888888889</v>
      </c>
      <c r="Z108" s="317">
        <v>-16.315788888888889</v>
      </c>
      <c r="AA108" s="328"/>
      <c r="AB108" s="329">
        <f t="shared" ref="AB108" si="34">AB107+1</f>
        <v>35</v>
      </c>
      <c r="AC108" s="321">
        <v>-0.23041666666666669</v>
      </c>
      <c r="AD108" s="321">
        <v>-0.23041666666666669</v>
      </c>
      <c r="AE108" s="266"/>
      <c r="AF108" s="266"/>
      <c r="AG108" s="266"/>
      <c r="AH108" s="266"/>
      <c r="AI108" s="266"/>
      <c r="AJ108" s="266"/>
    </row>
    <row r="109" spans="1:36" ht="15.6">
      <c r="A109" s="266"/>
      <c r="B109" s="268" t="s">
        <v>16</v>
      </c>
      <c r="C109" s="269" t="s">
        <v>17</v>
      </c>
      <c r="D109" s="269" t="s">
        <v>18</v>
      </c>
      <c r="E109" s="269" t="s">
        <v>19</v>
      </c>
      <c r="F109" s="269" t="s">
        <v>20</v>
      </c>
      <c r="G109" s="270"/>
      <c r="H109" s="773" t="s">
        <v>68</v>
      </c>
      <c r="I109" s="774" t="s">
        <v>22</v>
      </c>
      <c r="J109" s="776" t="s">
        <v>23</v>
      </c>
      <c r="K109" s="776"/>
      <c r="L109" s="271" t="s">
        <v>24</v>
      </c>
      <c r="M109" s="271" t="s">
        <v>25</v>
      </c>
      <c r="N109" s="271" t="s">
        <v>26</v>
      </c>
      <c r="O109" s="271" t="s">
        <v>27</v>
      </c>
      <c r="P109" s="271" t="s">
        <v>18</v>
      </c>
      <c r="Q109" s="271" t="s">
        <v>28</v>
      </c>
      <c r="R109" s="271" t="s">
        <v>29</v>
      </c>
      <c r="S109" s="271" t="s">
        <v>30</v>
      </c>
      <c r="T109" s="266"/>
      <c r="U109" s="316">
        <v>33</v>
      </c>
      <c r="V109" s="316">
        <v>12053</v>
      </c>
      <c r="W109" s="266"/>
      <c r="X109" s="327">
        <f t="shared" si="0"/>
        <v>36</v>
      </c>
      <c r="Y109" s="317">
        <v>-16.015902777777779</v>
      </c>
      <c r="Z109" s="317">
        <v>-16.015902777777779</v>
      </c>
      <c r="AA109" s="328"/>
      <c r="AB109" s="329">
        <f t="shared" ref="AB109" si="35">AB108+1</f>
        <v>36</v>
      </c>
      <c r="AC109" s="321">
        <v>-0.23194722222222222</v>
      </c>
      <c r="AD109" s="321">
        <v>-0.23194722222222222</v>
      </c>
      <c r="AE109" s="266"/>
      <c r="AF109" s="266"/>
      <c r="AG109" s="266"/>
      <c r="AH109" s="266"/>
      <c r="AI109" s="266"/>
      <c r="AJ109" s="266"/>
    </row>
    <row r="110" spans="1:36" ht="15.6">
      <c r="A110" s="266"/>
      <c r="B110" s="273" t="s">
        <v>32</v>
      </c>
      <c r="C110" s="274" t="s">
        <v>33</v>
      </c>
      <c r="D110" s="274" t="s">
        <v>34</v>
      </c>
      <c r="E110" s="274" t="s">
        <v>35</v>
      </c>
      <c r="F110" s="274" t="s">
        <v>36</v>
      </c>
      <c r="G110" s="275"/>
      <c r="H110" s="773"/>
      <c r="I110" s="775"/>
      <c r="J110" s="276" t="s">
        <v>37</v>
      </c>
      <c r="K110" s="276" t="s">
        <v>38</v>
      </c>
      <c r="L110" s="277" t="s">
        <v>39</v>
      </c>
      <c r="M110" s="277" t="s">
        <v>40</v>
      </c>
      <c r="N110" s="277" t="s">
        <v>36</v>
      </c>
      <c r="O110" s="277" t="s">
        <v>33</v>
      </c>
      <c r="P110" s="277" t="s">
        <v>41</v>
      </c>
      <c r="Q110" s="277" t="s">
        <v>42</v>
      </c>
      <c r="R110" s="277" t="s">
        <v>43</v>
      </c>
      <c r="S110" s="277" t="s">
        <v>44</v>
      </c>
      <c r="T110" s="266"/>
      <c r="U110" s="316">
        <v>34</v>
      </c>
      <c r="V110" s="316">
        <v>12418</v>
      </c>
      <c r="W110" s="266"/>
      <c r="X110" s="327">
        <f t="shared" si="0"/>
        <v>37</v>
      </c>
      <c r="Y110" s="317">
        <v>-15.711419444444443</v>
      </c>
      <c r="Z110" s="317">
        <v>-15.711419444444443</v>
      </c>
      <c r="AA110" s="328"/>
      <c r="AB110" s="329">
        <f t="shared" ref="AB110" si="36">AB109+1</f>
        <v>37</v>
      </c>
      <c r="AC110" s="321">
        <v>-0.23325555555555555</v>
      </c>
      <c r="AD110" s="321">
        <v>-0.23325555555555555</v>
      </c>
      <c r="AE110" s="266"/>
      <c r="AF110" s="266"/>
      <c r="AG110" s="266"/>
      <c r="AH110" s="266"/>
      <c r="AI110" s="266"/>
      <c r="AJ110" s="266"/>
    </row>
    <row r="111" spans="1:36">
      <c r="A111" s="266"/>
      <c r="B111" s="279">
        <v>1</v>
      </c>
      <c r="C111" s="280">
        <v>2</v>
      </c>
      <c r="D111" s="281">
        <v>3</v>
      </c>
      <c r="E111" s="282">
        <v>4</v>
      </c>
      <c r="F111" s="283">
        <v>5</v>
      </c>
      <c r="G111" s="284"/>
      <c r="H111" s="285">
        <v>1</v>
      </c>
      <c r="I111" s="286">
        <v>2</v>
      </c>
      <c r="J111" s="287">
        <v>3</v>
      </c>
      <c r="K111" s="287">
        <v>4</v>
      </c>
      <c r="L111" s="288">
        <v>5</v>
      </c>
      <c r="M111" s="289">
        <v>6</v>
      </c>
      <c r="N111" s="290">
        <v>7</v>
      </c>
      <c r="O111" s="291">
        <v>8</v>
      </c>
      <c r="P111" s="292">
        <v>9</v>
      </c>
      <c r="Q111" s="293">
        <v>10</v>
      </c>
      <c r="R111" s="294">
        <v>11</v>
      </c>
      <c r="S111" s="295">
        <v>12</v>
      </c>
      <c r="T111" s="343"/>
      <c r="U111" s="316">
        <v>35</v>
      </c>
      <c r="V111" s="316">
        <v>12783</v>
      </c>
      <c r="W111" s="266"/>
      <c r="X111" s="327">
        <f t="shared" si="0"/>
        <v>38</v>
      </c>
      <c r="Y111" s="317">
        <v>-15.402455555555555</v>
      </c>
      <c r="Z111" s="317">
        <v>-15.402455555555555</v>
      </c>
      <c r="AA111" s="328"/>
      <c r="AB111" s="329">
        <f t="shared" ref="AB111" si="37">AB110+1</f>
        <v>38</v>
      </c>
      <c r="AC111" s="321">
        <v>-0.2343388888888889</v>
      </c>
      <c r="AD111" s="321">
        <v>-0.2343388888888889</v>
      </c>
      <c r="AE111" s="266"/>
      <c r="AF111" s="266"/>
      <c r="AG111" s="266"/>
      <c r="AH111" s="266"/>
      <c r="AI111" s="266"/>
      <c r="AJ111" s="266"/>
    </row>
    <row r="112" spans="1:36">
      <c r="A112" s="266"/>
      <c r="B112" s="299">
        <v>1</v>
      </c>
      <c r="C112" s="280">
        <v>29.5306</v>
      </c>
      <c r="D112" s="281">
        <v>30.670500000000001</v>
      </c>
      <c r="E112" s="282">
        <v>25.8169</v>
      </c>
      <c r="F112" s="283">
        <v>29.105399999999999</v>
      </c>
      <c r="G112" s="284"/>
      <c r="H112" s="305">
        <v>1</v>
      </c>
      <c r="I112" s="306">
        <v>0</v>
      </c>
      <c r="J112" s="307">
        <v>0</v>
      </c>
      <c r="K112" s="307">
        <v>0</v>
      </c>
      <c r="L112" s="308">
        <v>0</v>
      </c>
      <c r="M112" s="309">
        <v>0</v>
      </c>
      <c r="N112" s="310">
        <v>0</v>
      </c>
      <c r="O112" s="311">
        <v>0</v>
      </c>
      <c r="P112" s="312">
        <v>0</v>
      </c>
      <c r="Q112" s="313">
        <v>0</v>
      </c>
      <c r="R112" s="314">
        <v>0</v>
      </c>
      <c r="S112" s="315">
        <v>0</v>
      </c>
      <c r="T112" s="266"/>
      <c r="U112" s="316">
        <v>36</v>
      </c>
      <c r="V112" s="316">
        <v>13149</v>
      </c>
      <c r="W112" s="266"/>
      <c r="X112" s="327">
        <f t="shared" si="0"/>
        <v>39</v>
      </c>
      <c r="Y112" s="317">
        <v>-15.089122222222223</v>
      </c>
      <c r="Z112" s="317">
        <v>-15.089122222222223</v>
      </c>
      <c r="AA112" s="328"/>
      <c r="AB112" s="329">
        <f t="shared" ref="AB112" si="38">AB111+1</f>
        <v>39</v>
      </c>
      <c r="AC112" s="321">
        <v>-0.23519999999999999</v>
      </c>
      <c r="AD112" s="321">
        <v>-0.23519999999999999</v>
      </c>
      <c r="AE112" s="266"/>
      <c r="AF112" s="266"/>
      <c r="AG112" s="266"/>
      <c r="AH112" s="266"/>
      <c r="AI112" s="266"/>
      <c r="AJ112" s="266"/>
    </row>
    <row r="113" spans="1:36">
      <c r="A113" s="266"/>
      <c r="B113" s="299">
        <v>2</v>
      </c>
      <c r="C113" s="280">
        <v>59.061199999999999</v>
      </c>
      <c r="D113" s="281">
        <v>61.341000000000001</v>
      </c>
      <c r="E113" s="282">
        <v>51.633800000000001</v>
      </c>
      <c r="F113" s="283">
        <v>58.210700000000003</v>
      </c>
      <c r="G113" s="284"/>
      <c r="H113" s="305">
        <v>2</v>
      </c>
      <c r="I113" s="306">
        <v>30</v>
      </c>
      <c r="J113" s="307">
        <v>2</v>
      </c>
      <c r="K113" s="307">
        <v>0</v>
      </c>
      <c r="L113" s="308">
        <v>29.569400000000002</v>
      </c>
      <c r="M113" s="309">
        <v>29.568000000000001</v>
      </c>
      <c r="N113" s="310">
        <v>35.291899999999998</v>
      </c>
      <c r="O113" s="311">
        <v>31.9498</v>
      </c>
      <c r="P113" s="312">
        <v>36.880499999999998</v>
      </c>
      <c r="Q113" s="313">
        <v>5.7225000000000001</v>
      </c>
      <c r="R113" s="314">
        <v>-1.1E-5</v>
      </c>
      <c r="S113" s="315">
        <v>29.569400000000002</v>
      </c>
      <c r="T113" s="266"/>
      <c r="U113" s="316">
        <v>37</v>
      </c>
      <c r="V113" s="316">
        <v>13514</v>
      </c>
      <c r="W113" s="266"/>
      <c r="X113" s="327">
        <f t="shared" si="0"/>
        <v>40</v>
      </c>
      <c r="Y113" s="317">
        <v>-14.771538888888889</v>
      </c>
      <c r="Z113" s="317">
        <v>-14.771538888888889</v>
      </c>
      <c r="AA113" s="328"/>
      <c r="AB113" s="329">
        <f t="shared" ref="AB113" si="39">AB112+1</f>
        <v>40</v>
      </c>
      <c r="AC113" s="321">
        <v>-0.23584166666666667</v>
      </c>
      <c r="AD113" s="321">
        <v>-0.23584166666666667</v>
      </c>
      <c r="AE113" s="266"/>
      <c r="AF113" s="266"/>
      <c r="AG113" s="266"/>
      <c r="AH113" s="266"/>
      <c r="AI113" s="266"/>
      <c r="AJ113" s="266"/>
    </row>
    <row r="114" spans="1:36">
      <c r="A114" s="266"/>
      <c r="B114" s="299">
        <v>3</v>
      </c>
      <c r="C114" s="280">
        <v>88.591800000000006</v>
      </c>
      <c r="D114" s="281">
        <v>92.011499999999998</v>
      </c>
      <c r="E114" s="282">
        <v>77.450800000000001</v>
      </c>
      <c r="F114" s="283">
        <v>87.316100000000006</v>
      </c>
      <c r="G114" s="284"/>
      <c r="H114" s="305">
        <v>3</v>
      </c>
      <c r="I114" s="306">
        <v>59</v>
      </c>
      <c r="J114" s="307">
        <v>3</v>
      </c>
      <c r="K114" s="307">
        <v>4</v>
      </c>
      <c r="L114" s="308">
        <v>58.153199999999998</v>
      </c>
      <c r="M114" s="309">
        <v>58.150399999999998</v>
      </c>
      <c r="N114" s="310">
        <v>57.407400000000003</v>
      </c>
      <c r="O114" s="311">
        <v>50.834600000000002</v>
      </c>
      <c r="P114" s="312">
        <v>60.531700000000001</v>
      </c>
      <c r="Q114" s="313">
        <v>359.25420000000003</v>
      </c>
      <c r="R114" s="314">
        <v>-2.0999999999999999E-5</v>
      </c>
      <c r="S114" s="315">
        <v>58.153199999999998</v>
      </c>
      <c r="T114" s="266"/>
      <c r="U114" s="316">
        <v>38</v>
      </c>
      <c r="V114" s="316">
        <v>13879</v>
      </c>
      <c r="W114" s="266"/>
      <c r="X114" s="327">
        <f t="shared" si="0"/>
        <v>41</v>
      </c>
      <c r="Y114" s="317">
        <v>-14.449819444444445</v>
      </c>
      <c r="Z114" s="317">
        <v>-14.449819444444445</v>
      </c>
      <c r="AA114" s="328"/>
      <c r="AB114" s="329">
        <f t="shared" ref="AB114" si="40">AB113+1</f>
        <v>41</v>
      </c>
      <c r="AC114" s="321">
        <v>-0.23626388888888888</v>
      </c>
      <c r="AD114" s="321">
        <v>-0.23626388888888888</v>
      </c>
      <c r="AE114" s="266"/>
      <c r="AF114" s="266"/>
      <c r="AG114" s="266"/>
      <c r="AH114" s="266"/>
      <c r="AI114" s="266"/>
      <c r="AJ114" s="266"/>
    </row>
    <row r="115" spans="1:36">
      <c r="A115" s="266"/>
      <c r="B115" s="299">
        <v>4</v>
      </c>
      <c r="C115" s="280">
        <v>118.1224</v>
      </c>
      <c r="D115" s="281">
        <v>122.682</v>
      </c>
      <c r="E115" s="282">
        <v>103.2677</v>
      </c>
      <c r="F115" s="283">
        <v>116.42140000000001</v>
      </c>
      <c r="G115" s="284"/>
      <c r="H115" s="305">
        <v>4</v>
      </c>
      <c r="I115" s="306">
        <v>89</v>
      </c>
      <c r="J115" s="307">
        <v>5</v>
      </c>
      <c r="K115" s="307">
        <v>4</v>
      </c>
      <c r="L115" s="308">
        <v>87.7226</v>
      </c>
      <c r="M115" s="309">
        <v>87.718400000000003</v>
      </c>
      <c r="N115" s="310">
        <v>92.699299999999994</v>
      </c>
      <c r="O115" s="311">
        <v>82.784400000000005</v>
      </c>
      <c r="P115" s="312">
        <v>97.412199999999999</v>
      </c>
      <c r="Q115" s="313">
        <v>4.9767000000000001</v>
      </c>
      <c r="R115" s="314">
        <v>-3.1999999999999999E-5</v>
      </c>
      <c r="S115" s="315">
        <v>87.7226</v>
      </c>
      <c r="T115" s="266"/>
      <c r="U115" s="316">
        <v>39</v>
      </c>
      <c r="V115" s="316">
        <v>14244</v>
      </c>
      <c r="W115" s="266"/>
      <c r="X115" s="327">
        <f t="shared" si="0"/>
        <v>42</v>
      </c>
      <c r="Y115" s="317">
        <v>-14.124077777777778</v>
      </c>
      <c r="Z115" s="317">
        <v>-14.124077777777778</v>
      </c>
      <c r="AA115" s="328"/>
      <c r="AB115" s="329">
        <f t="shared" ref="AB115" si="41">AB114+1</f>
        <v>42</v>
      </c>
      <c r="AC115" s="321">
        <v>-0.23647222222222222</v>
      </c>
      <c r="AD115" s="321">
        <v>-0.23647222222222222</v>
      </c>
      <c r="AE115" s="266"/>
      <c r="AF115" s="266"/>
      <c r="AG115" s="266"/>
      <c r="AH115" s="266"/>
      <c r="AI115" s="266"/>
      <c r="AJ115" s="266"/>
    </row>
    <row r="116" spans="1:36">
      <c r="A116" s="266"/>
      <c r="B116" s="299">
        <v>5</v>
      </c>
      <c r="C116" s="280">
        <v>147.65289999999999</v>
      </c>
      <c r="D116" s="281">
        <v>153.35249999999999</v>
      </c>
      <c r="E116" s="282">
        <v>129.08459999999999</v>
      </c>
      <c r="F116" s="283">
        <v>145.52680000000001</v>
      </c>
      <c r="G116" s="284"/>
      <c r="H116" s="305">
        <v>5</v>
      </c>
      <c r="I116" s="306">
        <v>118</v>
      </c>
      <c r="J116" s="307">
        <v>6</v>
      </c>
      <c r="K116" s="307">
        <v>3</v>
      </c>
      <c r="L116" s="308">
        <v>116.3064</v>
      </c>
      <c r="M116" s="309">
        <v>116.3008</v>
      </c>
      <c r="N116" s="310">
        <v>114.81480000000001</v>
      </c>
      <c r="O116" s="311">
        <v>101.6692</v>
      </c>
      <c r="P116" s="312">
        <v>121.0633</v>
      </c>
      <c r="Q116" s="313">
        <v>358.50839999999999</v>
      </c>
      <c r="R116" s="314">
        <v>-4.1999999999999998E-5</v>
      </c>
      <c r="S116" s="315">
        <v>116.3064</v>
      </c>
      <c r="T116" s="266"/>
      <c r="U116" s="316">
        <v>40</v>
      </c>
      <c r="V116" s="316">
        <v>14610</v>
      </c>
      <c r="W116" s="266"/>
      <c r="X116" s="327">
        <f t="shared" si="0"/>
        <v>43</v>
      </c>
      <c r="Y116" s="317">
        <v>-13.794433333333334</v>
      </c>
      <c r="Z116" s="317">
        <v>-13.794433333333334</v>
      </c>
      <c r="AA116" s="328"/>
      <c r="AB116" s="329">
        <f t="shared" ref="AB116" si="42">AB115+1</f>
        <v>43</v>
      </c>
      <c r="AC116" s="321">
        <v>-0.23646666666666666</v>
      </c>
      <c r="AD116" s="321">
        <v>-0.23646666666666666</v>
      </c>
      <c r="AE116" s="266"/>
      <c r="AF116" s="266"/>
      <c r="AG116" s="266"/>
      <c r="AH116" s="266"/>
      <c r="AI116" s="266"/>
      <c r="AJ116" s="266"/>
    </row>
    <row r="117" spans="1:36">
      <c r="A117" s="266"/>
      <c r="B117" s="299">
        <v>6</v>
      </c>
      <c r="C117" s="280">
        <v>177.18350000000001</v>
      </c>
      <c r="D117" s="281">
        <v>184.023</v>
      </c>
      <c r="E117" s="282">
        <v>154.9015</v>
      </c>
      <c r="F117" s="283">
        <v>174.63210000000001</v>
      </c>
      <c r="G117" s="284"/>
      <c r="H117" s="305">
        <v>6</v>
      </c>
      <c r="I117" s="306">
        <v>148</v>
      </c>
      <c r="J117" s="307">
        <v>1</v>
      </c>
      <c r="K117" s="307">
        <v>3</v>
      </c>
      <c r="L117" s="308">
        <v>145.8758</v>
      </c>
      <c r="M117" s="309">
        <v>145.86879999999999</v>
      </c>
      <c r="N117" s="310">
        <v>150.10669999999999</v>
      </c>
      <c r="O117" s="311">
        <v>133.619</v>
      </c>
      <c r="P117" s="312">
        <v>157.94380000000001</v>
      </c>
      <c r="Q117" s="313">
        <v>4.2309000000000001</v>
      </c>
      <c r="R117" s="314">
        <v>-5.3000000000000001E-5</v>
      </c>
      <c r="S117" s="315">
        <v>145.8758</v>
      </c>
      <c r="T117" s="266"/>
      <c r="U117" s="316">
        <v>41</v>
      </c>
      <c r="V117" s="316">
        <v>14975</v>
      </c>
      <c r="W117" s="266"/>
      <c r="X117" s="327">
        <f t="shared" si="0"/>
        <v>44</v>
      </c>
      <c r="Y117" s="317">
        <v>-13.460999999999999</v>
      </c>
      <c r="Z117" s="317">
        <v>-13.460999999999999</v>
      </c>
      <c r="AA117" s="328"/>
      <c r="AB117" s="329">
        <f t="shared" ref="AB117" si="43">AB116+1</f>
        <v>44</v>
      </c>
      <c r="AC117" s="321">
        <v>-0.23625000000000002</v>
      </c>
      <c r="AD117" s="321">
        <v>-0.23625000000000002</v>
      </c>
      <c r="AE117" s="266"/>
      <c r="AF117" s="266"/>
      <c r="AG117" s="266"/>
      <c r="AH117" s="266"/>
      <c r="AI117" s="266"/>
      <c r="AJ117" s="266"/>
    </row>
    <row r="118" spans="1:36">
      <c r="A118" s="266"/>
      <c r="B118" s="299">
        <v>7</v>
      </c>
      <c r="C118" s="280">
        <v>206.7141</v>
      </c>
      <c r="D118" s="281">
        <v>214.6935</v>
      </c>
      <c r="E118" s="282">
        <v>180.7184</v>
      </c>
      <c r="F118" s="283">
        <v>203.73750000000001</v>
      </c>
      <c r="G118" s="284"/>
      <c r="H118" s="305">
        <v>7</v>
      </c>
      <c r="I118" s="306">
        <v>177</v>
      </c>
      <c r="J118" s="307">
        <v>2</v>
      </c>
      <c r="K118" s="307">
        <v>2</v>
      </c>
      <c r="L118" s="308">
        <v>174.45959999999999</v>
      </c>
      <c r="M118" s="309">
        <v>174.4512</v>
      </c>
      <c r="N118" s="310">
        <v>172.22219999999999</v>
      </c>
      <c r="O118" s="311">
        <v>152.50380000000001</v>
      </c>
      <c r="P118" s="312">
        <v>181.595</v>
      </c>
      <c r="Q118" s="313">
        <v>357.76260000000002</v>
      </c>
      <c r="R118" s="314">
        <v>-6.3E-5</v>
      </c>
      <c r="S118" s="315">
        <v>174.45959999999999</v>
      </c>
      <c r="T118" s="266"/>
      <c r="U118" s="316">
        <v>42</v>
      </c>
      <c r="V118" s="316">
        <v>15340</v>
      </c>
      <c r="W118" s="266"/>
      <c r="X118" s="327">
        <f t="shared" si="0"/>
        <v>45</v>
      </c>
      <c r="Y118" s="317">
        <v>-13.123894444444446</v>
      </c>
      <c r="Z118" s="317">
        <v>-13.123894444444446</v>
      </c>
      <c r="AA118" s="328"/>
      <c r="AB118" s="329">
        <f t="shared" ref="AB118" si="44">AB117+1</f>
        <v>45</v>
      </c>
      <c r="AC118" s="321">
        <v>-0.23582500000000001</v>
      </c>
      <c r="AD118" s="321">
        <v>-0.23582500000000001</v>
      </c>
      <c r="AE118" s="266"/>
      <c r="AF118" s="266"/>
      <c r="AG118" s="266"/>
      <c r="AH118" s="266"/>
      <c r="AI118" s="266"/>
      <c r="AJ118" s="266"/>
    </row>
    <row r="119" spans="1:36">
      <c r="A119" s="266"/>
      <c r="B119" s="299">
        <v>8</v>
      </c>
      <c r="C119" s="280">
        <v>236.24469999999999</v>
      </c>
      <c r="D119" s="281">
        <v>245.36410000000001</v>
      </c>
      <c r="E119" s="282">
        <v>206.53530000000001</v>
      </c>
      <c r="F119" s="283">
        <v>232.84280000000001</v>
      </c>
      <c r="G119" s="284"/>
      <c r="H119" s="305">
        <v>8</v>
      </c>
      <c r="I119" s="306">
        <v>207</v>
      </c>
      <c r="J119" s="307">
        <v>4</v>
      </c>
      <c r="K119" s="307">
        <v>2</v>
      </c>
      <c r="L119" s="308">
        <v>204.029</v>
      </c>
      <c r="M119" s="309">
        <v>204.01929999999999</v>
      </c>
      <c r="N119" s="310">
        <v>207.51410000000001</v>
      </c>
      <c r="O119" s="311">
        <v>184.45349999999999</v>
      </c>
      <c r="P119" s="312">
        <v>218.47550000000001</v>
      </c>
      <c r="Q119" s="313">
        <v>3.4851000000000001</v>
      </c>
      <c r="R119" s="314">
        <v>-7.3999999999999996E-5</v>
      </c>
      <c r="S119" s="315">
        <v>204.029</v>
      </c>
      <c r="T119" s="266"/>
      <c r="U119" s="316">
        <v>43</v>
      </c>
      <c r="V119" s="316">
        <v>15705</v>
      </c>
      <c r="W119" s="266"/>
      <c r="X119" s="327">
        <f t="shared" si="0"/>
        <v>46</v>
      </c>
      <c r="Y119" s="317">
        <v>-12.783233333333333</v>
      </c>
      <c r="Z119" s="317">
        <v>-12.783233333333333</v>
      </c>
      <c r="AA119" s="328"/>
      <c r="AB119" s="329">
        <f t="shared" ref="AB119" si="45">AB118+1</f>
        <v>46</v>
      </c>
      <c r="AC119" s="321">
        <v>-0.23519444444444446</v>
      </c>
      <c r="AD119" s="321">
        <v>-0.23519444444444446</v>
      </c>
      <c r="AE119" s="266"/>
      <c r="AF119" s="266"/>
      <c r="AG119" s="266"/>
      <c r="AH119" s="266"/>
      <c r="AI119" s="266"/>
      <c r="AJ119" s="266"/>
    </row>
    <row r="120" spans="1:36">
      <c r="A120" s="266"/>
      <c r="B120" s="299">
        <v>9</v>
      </c>
      <c r="C120" s="280">
        <v>265.77530000000002</v>
      </c>
      <c r="D120" s="281">
        <v>276.03460000000001</v>
      </c>
      <c r="E120" s="282">
        <v>232.35230000000001</v>
      </c>
      <c r="F120" s="283">
        <v>261.94819999999999</v>
      </c>
      <c r="G120" s="284"/>
      <c r="H120" s="305">
        <v>9</v>
      </c>
      <c r="I120" s="306">
        <v>236</v>
      </c>
      <c r="J120" s="307">
        <v>5</v>
      </c>
      <c r="K120" s="307">
        <v>1</v>
      </c>
      <c r="L120" s="308">
        <v>232.61279999999999</v>
      </c>
      <c r="M120" s="309">
        <v>232.60169999999999</v>
      </c>
      <c r="N120" s="310">
        <v>229.62960000000001</v>
      </c>
      <c r="O120" s="311">
        <v>203.3383</v>
      </c>
      <c r="P120" s="312">
        <v>242.1267</v>
      </c>
      <c r="Q120" s="313">
        <v>357.01679999999999</v>
      </c>
      <c r="R120" s="314">
        <v>-8.3999999999999995E-5</v>
      </c>
      <c r="S120" s="315">
        <v>232.61279999999999</v>
      </c>
      <c r="T120" s="266"/>
      <c r="U120" s="316">
        <v>44</v>
      </c>
      <c r="V120" s="316">
        <v>16071</v>
      </c>
      <c r="W120" s="266"/>
      <c r="X120" s="327">
        <f t="shared" si="0"/>
        <v>47</v>
      </c>
      <c r="Y120" s="317">
        <v>-12.439127777777777</v>
      </c>
      <c r="Z120" s="317">
        <v>-12.439127777777777</v>
      </c>
      <c r="AA120" s="328"/>
      <c r="AB120" s="329">
        <f t="shared" ref="AB120" si="46">AB119+1</f>
        <v>47</v>
      </c>
      <c r="AC120" s="321">
        <v>-0.2343611111111111</v>
      </c>
      <c r="AD120" s="321">
        <v>-0.2343611111111111</v>
      </c>
      <c r="AE120" s="266"/>
      <c r="AF120" s="266"/>
      <c r="AG120" s="266"/>
      <c r="AH120" s="266"/>
      <c r="AI120" s="266"/>
      <c r="AJ120" s="266"/>
    </row>
    <row r="121" spans="1:36">
      <c r="A121" s="266"/>
      <c r="B121" s="299">
        <v>10</v>
      </c>
      <c r="C121" s="280">
        <v>295.30590000000001</v>
      </c>
      <c r="D121" s="281">
        <v>306.70510000000002</v>
      </c>
      <c r="E121" s="282">
        <v>258.16919999999999</v>
      </c>
      <c r="F121" s="283">
        <v>291.05360000000002</v>
      </c>
      <c r="G121" s="284"/>
      <c r="H121" s="305">
        <v>10</v>
      </c>
      <c r="I121" s="306">
        <v>266</v>
      </c>
      <c r="J121" s="307">
        <v>0</v>
      </c>
      <c r="K121" s="307">
        <v>1</v>
      </c>
      <c r="L121" s="308">
        <v>262.18220000000002</v>
      </c>
      <c r="M121" s="309">
        <v>262.16969999999998</v>
      </c>
      <c r="N121" s="310">
        <v>264.92149999999998</v>
      </c>
      <c r="O121" s="311">
        <v>235.28809999999999</v>
      </c>
      <c r="P121" s="312">
        <v>279.00720000000001</v>
      </c>
      <c r="Q121" s="313">
        <v>2.7393000000000001</v>
      </c>
      <c r="R121" s="314">
        <v>-9.5000000000000005E-5</v>
      </c>
      <c r="S121" s="315">
        <v>262.18220000000002</v>
      </c>
      <c r="T121" s="266"/>
      <c r="U121" s="316">
        <v>45</v>
      </c>
      <c r="V121" s="316">
        <v>16436</v>
      </c>
      <c r="W121" s="266"/>
      <c r="X121" s="327">
        <f t="shared" si="0"/>
        <v>48</v>
      </c>
      <c r="Y121" s="317">
        <v>-12.091697222222223</v>
      </c>
      <c r="Z121" s="317">
        <v>-12.091697222222223</v>
      </c>
      <c r="AA121" s="328"/>
      <c r="AB121" s="329">
        <f t="shared" ref="AB121" si="47">AB120+1</f>
        <v>48</v>
      </c>
      <c r="AC121" s="321">
        <v>-0.23333055555555557</v>
      </c>
      <c r="AD121" s="321">
        <v>-0.23333055555555557</v>
      </c>
      <c r="AE121" s="266"/>
      <c r="AF121" s="266"/>
      <c r="AG121" s="266"/>
      <c r="AH121" s="266"/>
      <c r="AI121" s="266"/>
      <c r="AJ121" s="266"/>
    </row>
    <row r="122" spans="1:36">
      <c r="A122" s="266"/>
      <c r="B122" s="299">
        <v>11</v>
      </c>
      <c r="C122" s="280">
        <v>324.8365</v>
      </c>
      <c r="D122" s="281">
        <v>337.37560000000002</v>
      </c>
      <c r="E122" s="282">
        <v>283.98610000000002</v>
      </c>
      <c r="F122" s="283">
        <v>320.15890000000002</v>
      </c>
      <c r="G122" s="284"/>
      <c r="H122" s="305">
        <v>11</v>
      </c>
      <c r="I122" s="306">
        <v>295</v>
      </c>
      <c r="J122" s="307">
        <v>1</v>
      </c>
      <c r="K122" s="307">
        <v>0</v>
      </c>
      <c r="L122" s="308">
        <v>290.76600000000002</v>
      </c>
      <c r="M122" s="309">
        <v>290.75209999999998</v>
      </c>
      <c r="N122" s="310">
        <v>287.03699999999998</v>
      </c>
      <c r="O122" s="311">
        <v>254.1729</v>
      </c>
      <c r="P122" s="312">
        <v>302.6583</v>
      </c>
      <c r="Q122" s="313">
        <v>356.27100000000002</v>
      </c>
      <c r="R122" s="314">
        <v>-1.05E-4</v>
      </c>
      <c r="S122" s="315">
        <v>290.76600000000002</v>
      </c>
      <c r="T122" s="266"/>
      <c r="U122" s="316">
        <v>46</v>
      </c>
      <c r="V122" s="316">
        <v>16801</v>
      </c>
      <c r="W122" s="266"/>
      <c r="X122" s="327">
        <f t="shared" si="0"/>
        <v>49</v>
      </c>
      <c r="Y122" s="317">
        <v>-11.741055555555555</v>
      </c>
      <c r="Z122" s="317">
        <v>-11.741055555555555</v>
      </c>
      <c r="AA122" s="328"/>
      <c r="AB122" s="329">
        <f t="shared" ref="AB122" si="48">AB121+1</f>
        <v>49</v>
      </c>
      <c r="AC122" s="321">
        <v>-0.2321027777777778</v>
      </c>
      <c r="AD122" s="321">
        <v>-0.2321027777777778</v>
      </c>
      <c r="AE122" s="266"/>
      <c r="AF122" s="266"/>
      <c r="AG122" s="266"/>
      <c r="AH122" s="266"/>
      <c r="AI122" s="266"/>
      <c r="AJ122" s="266"/>
    </row>
    <row r="123" spans="1:36">
      <c r="A123" s="266"/>
      <c r="B123" s="299">
        <v>12</v>
      </c>
      <c r="C123" s="280">
        <v>354.36709999999999</v>
      </c>
      <c r="D123" s="281">
        <v>8.0460999999999991</v>
      </c>
      <c r="E123" s="282">
        <v>309.803</v>
      </c>
      <c r="F123" s="283">
        <v>349.26429999999999</v>
      </c>
      <c r="G123" s="284"/>
      <c r="H123" s="305">
        <v>12</v>
      </c>
      <c r="I123" s="306">
        <v>325</v>
      </c>
      <c r="J123" s="307">
        <v>3</v>
      </c>
      <c r="K123" s="307">
        <v>0</v>
      </c>
      <c r="L123" s="308">
        <v>320.33539999999999</v>
      </c>
      <c r="M123" s="309">
        <v>320.32010000000002</v>
      </c>
      <c r="N123" s="310">
        <v>322.32889999999998</v>
      </c>
      <c r="O123" s="311">
        <v>286.12270000000001</v>
      </c>
      <c r="P123" s="312">
        <v>339.53879999999998</v>
      </c>
      <c r="Q123" s="313">
        <v>1.9935</v>
      </c>
      <c r="R123" s="314">
        <v>-1.16E-4</v>
      </c>
      <c r="S123" s="315">
        <v>320.33539999999999</v>
      </c>
      <c r="T123" s="266"/>
      <c r="U123" s="316">
        <v>47</v>
      </c>
      <c r="V123" s="316">
        <v>17166</v>
      </c>
      <c r="W123" s="266"/>
      <c r="X123" s="327">
        <f t="shared" si="0"/>
        <v>50</v>
      </c>
      <c r="Y123" s="317">
        <v>-11.387319444444444</v>
      </c>
      <c r="Z123" s="317">
        <v>-11.387319444444444</v>
      </c>
      <c r="AA123" s="328"/>
      <c r="AB123" s="329">
        <f t="shared" ref="AB123" si="49">AB122+1</f>
        <v>50</v>
      </c>
      <c r="AC123" s="321">
        <v>-0.23068333333333335</v>
      </c>
      <c r="AD123" s="321">
        <v>-0.23068333333333335</v>
      </c>
      <c r="AE123" s="266"/>
      <c r="AF123" s="266"/>
      <c r="AG123" s="266"/>
      <c r="AH123" s="266"/>
      <c r="AI123" s="266"/>
      <c r="AJ123" s="266"/>
    </row>
    <row r="124" spans="1:36">
      <c r="A124" s="266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316">
        <v>48</v>
      </c>
      <c r="V124" s="316">
        <v>17532</v>
      </c>
      <c r="W124" s="266"/>
      <c r="X124" s="327">
        <f t="shared" si="0"/>
        <v>51</v>
      </c>
      <c r="Y124" s="317">
        <v>-11.030600000000002</v>
      </c>
      <c r="Z124" s="317">
        <v>-11.030600000000002</v>
      </c>
      <c r="AA124" s="328"/>
      <c r="AB124" s="329">
        <f t="shared" ref="AB124" si="50">AB123+1</f>
        <v>51</v>
      </c>
      <c r="AC124" s="321">
        <v>-0.2290777777777778</v>
      </c>
      <c r="AD124" s="321">
        <v>-0.2290777777777778</v>
      </c>
      <c r="AE124" s="266"/>
      <c r="AF124" s="266"/>
      <c r="AG124" s="266"/>
      <c r="AH124" s="266"/>
      <c r="AI124" s="266"/>
      <c r="AJ124" s="266"/>
    </row>
    <row r="125" spans="1:36" ht="17.399999999999999">
      <c r="A125" s="266"/>
      <c r="B125" s="767" t="s">
        <v>69</v>
      </c>
      <c r="C125" s="768"/>
      <c r="D125" s="767" t="s">
        <v>70</v>
      </c>
      <c r="E125" s="768"/>
      <c r="F125" s="266"/>
      <c r="G125" s="344"/>
      <c r="H125" s="764" t="s">
        <v>71</v>
      </c>
      <c r="I125" s="765"/>
      <c r="J125" s="765"/>
      <c r="K125" s="765"/>
      <c r="L125" s="765"/>
      <c r="M125" s="765"/>
      <c r="N125" s="765"/>
      <c r="O125" s="765"/>
      <c r="P125" s="765"/>
      <c r="Q125" s="765"/>
      <c r="R125" s="765"/>
      <c r="S125" s="766"/>
      <c r="T125" s="266"/>
      <c r="U125" s="316">
        <v>49</v>
      </c>
      <c r="V125" s="316">
        <v>17897</v>
      </c>
      <c r="W125" s="266"/>
      <c r="X125" s="327">
        <f t="shared" si="0"/>
        <v>52</v>
      </c>
      <c r="Y125" s="317">
        <v>-10.671016666666667</v>
      </c>
      <c r="Z125" s="317">
        <v>-10.671016666666667</v>
      </c>
      <c r="AA125" s="328"/>
      <c r="AB125" s="329">
        <f t="shared" ref="AB125" si="51">AB124+1</f>
        <v>52</v>
      </c>
      <c r="AC125" s="321">
        <v>-0.2272888888888889</v>
      </c>
      <c r="AD125" s="321">
        <v>-0.2272888888888889</v>
      </c>
      <c r="AE125" s="266"/>
      <c r="AF125" s="266"/>
      <c r="AG125" s="266"/>
      <c r="AH125" s="266"/>
      <c r="AI125" s="266"/>
      <c r="AJ125" s="266"/>
    </row>
    <row r="126" spans="1:36">
      <c r="A126" s="266"/>
      <c r="B126" s="345">
        <f t="shared" ref="B126:B137" si="52">B112</f>
        <v>1</v>
      </c>
      <c r="C126" s="345">
        <v>1</v>
      </c>
      <c r="D126" s="345" t="s">
        <v>72</v>
      </c>
      <c r="E126" s="345">
        <v>8</v>
      </c>
      <c r="F126" s="266"/>
      <c r="G126" s="344"/>
      <c r="H126" s="773" t="s">
        <v>73</v>
      </c>
      <c r="I126" s="774" t="s">
        <v>22</v>
      </c>
      <c r="J126" s="776" t="s">
        <v>23</v>
      </c>
      <c r="K126" s="776"/>
      <c r="L126" s="271" t="s">
        <v>24</v>
      </c>
      <c r="M126" s="271" t="s">
        <v>25</v>
      </c>
      <c r="N126" s="271" t="s">
        <v>26</v>
      </c>
      <c r="O126" s="271" t="s">
        <v>27</v>
      </c>
      <c r="P126" s="271" t="s">
        <v>18</v>
      </c>
      <c r="Q126" s="271" t="s">
        <v>28</v>
      </c>
      <c r="R126" s="271" t="s">
        <v>29</v>
      </c>
      <c r="S126" s="271" t="s">
        <v>30</v>
      </c>
      <c r="T126" s="266"/>
      <c r="U126" s="316">
        <v>50</v>
      </c>
      <c r="V126" s="316">
        <v>18262</v>
      </c>
      <c r="W126" s="266"/>
      <c r="X126" s="327">
        <f t="shared" si="0"/>
        <v>53</v>
      </c>
      <c r="Y126" s="317">
        <v>-10.308677777777778</v>
      </c>
      <c r="Z126" s="317">
        <v>-10.308677777777778</v>
      </c>
      <c r="AA126" s="328"/>
      <c r="AB126" s="329">
        <f t="shared" ref="AB126" si="53">AB125+1</f>
        <v>53</v>
      </c>
      <c r="AC126" s="321">
        <v>-0.22531944444444446</v>
      </c>
      <c r="AD126" s="321">
        <v>-0.22531944444444446</v>
      </c>
      <c r="AE126" s="266"/>
      <c r="AF126" s="266"/>
      <c r="AG126" s="266"/>
      <c r="AH126" s="266"/>
      <c r="AI126" s="266"/>
      <c r="AJ126" s="266"/>
    </row>
    <row r="127" spans="1:36">
      <c r="A127" s="266"/>
      <c r="B127" s="345">
        <f t="shared" si="52"/>
        <v>2</v>
      </c>
      <c r="C127" s="345">
        <v>2</v>
      </c>
      <c r="D127" s="345" t="s">
        <v>74</v>
      </c>
      <c r="E127" s="345">
        <v>4</v>
      </c>
      <c r="F127" s="266"/>
      <c r="G127" s="344"/>
      <c r="H127" s="773"/>
      <c r="I127" s="775"/>
      <c r="J127" s="276" t="s">
        <v>37</v>
      </c>
      <c r="K127" s="276" t="s">
        <v>38</v>
      </c>
      <c r="L127" s="277" t="s">
        <v>39</v>
      </c>
      <c r="M127" s="277" t="s">
        <v>40</v>
      </c>
      <c r="N127" s="277" t="s">
        <v>36</v>
      </c>
      <c r="O127" s="277" t="s">
        <v>33</v>
      </c>
      <c r="P127" s="277" t="s">
        <v>41</v>
      </c>
      <c r="Q127" s="277" t="s">
        <v>42</v>
      </c>
      <c r="R127" s="277" t="s">
        <v>43</v>
      </c>
      <c r="S127" s="277" t="s">
        <v>44</v>
      </c>
      <c r="T127" s="266"/>
      <c r="U127" s="316">
        <v>51</v>
      </c>
      <c r="V127" s="316">
        <v>18627</v>
      </c>
      <c r="W127" s="266"/>
      <c r="X127" s="327">
        <f t="shared" si="0"/>
        <v>54</v>
      </c>
      <c r="Y127" s="317">
        <v>-9.9437027777777782</v>
      </c>
      <c r="Z127" s="317">
        <v>-9.9437027777777782</v>
      </c>
      <c r="AA127" s="328"/>
      <c r="AB127" s="329">
        <f t="shared" ref="AB127" si="54">AB126+1</f>
        <v>54</v>
      </c>
      <c r="AC127" s="321">
        <v>-0.22317500000000001</v>
      </c>
      <c r="AD127" s="321">
        <v>-0.22317500000000001</v>
      </c>
      <c r="AE127" s="266"/>
      <c r="AF127" s="266"/>
      <c r="AG127" s="266"/>
      <c r="AH127" s="266"/>
      <c r="AI127" s="266"/>
      <c r="AJ127" s="266"/>
    </row>
    <row r="128" spans="1:36">
      <c r="A128" s="266"/>
      <c r="B128" s="345">
        <f t="shared" si="52"/>
        <v>3</v>
      </c>
      <c r="C128" s="345">
        <v>3</v>
      </c>
      <c r="D128" s="345" t="s">
        <v>75</v>
      </c>
      <c r="E128" s="345">
        <v>12</v>
      </c>
      <c r="F128" s="266"/>
      <c r="G128" s="344"/>
      <c r="H128" s="285">
        <v>1</v>
      </c>
      <c r="I128" s="286">
        <v>2</v>
      </c>
      <c r="J128" s="287">
        <v>3</v>
      </c>
      <c r="K128" s="287">
        <v>4</v>
      </c>
      <c r="L128" s="288">
        <v>5</v>
      </c>
      <c r="M128" s="289">
        <v>6</v>
      </c>
      <c r="N128" s="290">
        <v>7</v>
      </c>
      <c r="O128" s="291">
        <v>8</v>
      </c>
      <c r="P128" s="292">
        <v>9</v>
      </c>
      <c r="Q128" s="293">
        <v>10</v>
      </c>
      <c r="R128" s="294">
        <v>11</v>
      </c>
      <c r="S128" s="295">
        <v>12</v>
      </c>
      <c r="T128" s="266"/>
      <c r="U128" s="316">
        <v>52</v>
      </c>
      <c r="V128" s="316">
        <v>18993</v>
      </c>
      <c r="W128" s="266"/>
      <c r="X128" s="327">
        <f t="shared" si="0"/>
        <v>55</v>
      </c>
      <c r="Y128" s="317">
        <v>-9.5762</v>
      </c>
      <c r="Z128" s="317">
        <v>-9.5762</v>
      </c>
      <c r="AA128" s="328"/>
      <c r="AB128" s="329">
        <f t="shared" ref="AB128" si="55">AB127+1</f>
        <v>55</v>
      </c>
      <c r="AC128" s="321">
        <v>-0.22086111111111112</v>
      </c>
      <c r="AD128" s="321">
        <v>-0.22086111111111112</v>
      </c>
      <c r="AE128" s="266"/>
      <c r="AF128" s="266"/>
      <c r="AG128" s="266"/>
      <c r="AH128" s="266"/>
      <c r="AI128" s="266"/>
      <c r="AJ128" s="266"/>
    </row>
    <row r="129" spans="1:36">
      <c r="A129" s="266"/>
      <c r="B129" s="345">
        <f t="shared" si="52"/>
        <v>4</v>
      </c>
      <c r="C129" s="345">
        <v>4</v>
      </c>
      <c r="D129" s="345" t="s">
        <v>76</v>
      </c>
      <c r="E129" s="345">
        <v>2</v>
      </c>
      <c r="F129" s="266"/>
      <c r="G129" s="344"/>
      <c r="H129" s="285">
        <v>0</v>
      </c>
      <c r="I129" s="286">
        <v>0</v>
      </c>
      <c r="J129" s="287">
        <v>0</v>
      </c>
      <c r="K129" s="287">
        <v>0</v>
      </c>
      <c r="L129" s="288">
        <v>0</v>
      </c>
      <c r="M129" s="289">
        <v>0</v>
      </c>
      <c r="N129" s="290">
        <v>0</v>
      </c>
      <c r="O129" s="291">
        <v>0</v>
      </c>
      <c r="P129" s="292">
        <v>0</v>
      </c>
      <c r="Q129" s="293">
        <v>0</v>
      </c>
      <c r="R129" s="294">
        <v>0</v>
      </c>
      <c r="S129" s="295">
        <v>0</v>
      </c>
      <c r="T129" s="266"/>
      <c r="U129" s="316">
        <v>53</v>
      </c>
      <c r="V129" s="316">
        <v>19358</v>
      </c>
      <c r="W129" s="266"/>
      <c r="X129" s="327">
        <f t="shared" si="0"/>
        <v>56</v>
      </c>
      <c r="Y129" s="317">
        <v>-9.2062861111111101</v>
      </c>
      <c r="Z129" s="317">
        <v>-9.2062861111111101</v>
      </c>
      <c r="AA129" s="328"/>
      <c r="AB129" s="329">
        <f t="shared" ref="AB129" si="56">AB128+1</f>
        <v>56</v>
      </c>
      <c r="AC129" s="321">
        <v>-0.21837777777777778</v>
      </c>
      <c r="AD129" s="321">
        <v>-0.21837777777777778</v>
      </c>
      <c r="AE129" s="266"/>
      <c r="AF129" s="266"/>
      <c r="AG129" s="266"/>
      <c r="AH129" s="266"/>
      <c r="AI129" s="266"/>
      <c r="AJ129" s="266"/>
    </row>
    <row r="130" spans="1:36">
      <c r="A130" s="266"/>
      <c r="B130" s="345">
        <f t="shared" si="52"/>
        <v>5</v>
      </c>
      <c r="C130" s="345">
        <v>5</v>
      </c>
      <c r="D130" s="345" t="s">
        <v>77</v>
      </c>
      <c r="E130" s="345">
        <v>1</v>
      </c>
      <c r="F130" s="266"/>
      <c r="G130" s="344"/>
      <c r="H130" s="285">
        <v>1</v>
      </c>
      <c r="I130" s="286">
        <v>1</v>
      </c>
      <c r="J130" s="287">
        <v>1</v>
      </c>
      <c r="K130" s="287">
        <v>1</v>
      </c>
      <c r="L130" s="288">
        <v>0.98560000000000003</v>
      </c>
      <c r="M130" s="289">
        <v>0.98560000000000003</v>
      </c>
      <c r="N130" s="290">
        <v>13.176399999999999</v>
      </c>
      <c r="O130" s="291">
        <v>13.065</v>
      </c>
      <c r="P130" s="292">
        <v>13.2294</v>
      </c>
      <c r="Q130" s="293">
        <v>12.1907</v>
      </c>
      <c r="R130" s="294">
        <v>0</v>
      </c>
      <c r="S130" s="295">
        <v>0.98560000000000003</v>
      </c>
      <c r="T130" s="266"/>
      <c r="U130" s="316">
        <v>54</v>
      </c>
      <c r="V130" s="316">
        <v>19723</v>
      </c>
      <c r="W130" s="266"/>
      <c r="X130" s="327">
        <f t="shared" si="0"/>
        <v>57</v>
      </c>
      <c r="Y130" s="317">
        <v>-8.8340694444444452</v>
      </c>
      <c r="Z130" s="317">
        <v>-8.8340694444444452</v>
      </c>
      <c r="AA130" s="328"/>
      <c r="AB130" s="329">
        <f t="shared" ref="AB130" si="57">AB129+1</f>
        <v>57</v>
      </c>
      <c r="AC130" s="321">
        <v>-0.21573333333333333</v>
      </c>
      <c r="AD130" s="321">
        <v>-0.21573333333333333</v>
      </c>
      <c r="AE130" s="266"/>
      <c r="AF130" s="266"/>
      <c r="AG130" s="266"/>
      <c r="AH130" s="266"/>
      <c r="AI130" s="266"/>
      <c r="AJ130" s="266"/>
    </row>
    <row r="131" spans="1:36">
      <c r="A131" s="266"/>
      <c r="B131" s="345">
        <f t="shared" si="52"/>
        <v>6</v>
      </c>
      <c r="C131" s="345">
        <v>6</v>
      </c>
      <c r="D131" s="345" t="s">
        <v>78</v>
      </c>
      <c r="E131" s="345">
        <v>7</v>
      </c>
      <c r="F131" s="266"/>
      <c r="G131" s="344"/>
      <c r="H131" s="285">
        <v>2</v>
      </c>
      <c r="I131" s="286">
        <v>2</v>
      </c>
      <c r="J131" s="287">
        <v>2</v>
      </c>
      <c r="K131" s="287">
        <v>2</v>
      </c>
      <c r="L131" s="288">
        <v>1.9713000000000001</v>
      </c>
      <c r="M131" s="289">
        <v>1.9712000000000001</v>
      </c>
      <c r="N131" s="290">
        <v>26.352799999999998</v>
      </c>
      <c r="O131" s="291">
        <v>26.13</v>
      </c>
      <c r="P131" s="292">
        <v>26.4587</v>
      </c>
      <c r="Q131" s="293">
        <v>24.381499999999999</v>
      </c>
      <c r="R131" s="294">
        <v>-9.9999999999999995E-7</v>
      </c>
      <c r="S131" s="295">
        <v>1.9713000000000001</v>
      </c>
      <c r="T131" s="266"/>
      <c r="U131" s="316">
        <v>55</v>
      </c>
      <c r="V131" s="316">
        <v>20088</v>
      </c>
      <c r="W131" s="266"/>
      <c r="X131" s="327">
        <f t="shared" si="0"/>
        <v>58</v>
      </c>
      <c r="Y131" s="317">
        <v>-8.4596666666666653</v>
      </c>
      <c r="Z131" s="317">
        <v>-8.4596666666666653</v>
      </c>
      <c r="AA131" s="328"/>
      <c r="AB131" s="329">
        <f t="shared" ref="AB131" si="58">AB130+1</f>
        <v>58</v>
      </c>
      <c r="AC131" s="321">
        <v>-0.21293333333333334</v>
      </c>
      <c r="AD131" s="321">
        <v>-0.21293333333333334</v>
      </c>
      <c r="AE131" s="266"/>
      <c r="AF131" s="266"/>
      <c r="AG131" s="266"/>
      <c r="AH131" s="266"/>
      <c r="AI131" s="266"/>
      <c r="AJ131" s="266"/>
    </row>
    <row r="132" spans="1:36">
      <c r="A132" s="266"/>
      <c r="B132" s="345">
        <f t="shared" si="52"/>
        <v>7</v>
      </c>
      <c r="C132" s="345">
        <v>7</v>
      </c>
      <c r="D132" s="345" t="s">
        <v>79</v>
      </c>
      <c r="E132" s="345">
        <v>6</v>
      </c>
      <c r="F132" s="266"/>
      <c r="G132" s="344"/>
      <c r="H132" s="285">
        <v>3</v>
      </c>
      <c r="I132" s="286">
        <v>3</v>
      </c>
      <c r="J132" s="287">
        <v>3</v>
      </c>
      <c r="K132" s="287">
        <v>3</v>
      </c>
      <c r="L132" s="288">
        <v>2.9569000000000001</v>
      </c>
      <c r="M132" s="289">
        <v>2.9567999999999999</v>
      </c>
      <c r="N132" s="290">
        <v>39.529200000000003</v>
      </c>
      <c r="O132" s="291">
        <v>39.195</v>
      </c>
      <c r="P132" s="292">
        <v>39.688099999999999</v>
      </c>
      <c r="Q132" s="293">
        <v>36.572200000000002</v>
      </c>
      <c r="R132" s="294">
        <v>-9.9999999999999995E-7</v>
      </c>
      <c r="S132" s="295">
        <v>2.9569000000000001</v>
      </c>
      <c r="T132" s="266"/>
      <c r="U132" s="316">
        <v>56</v>
      </c>
      <c r="V132" s="316">
        <v>20454</v>
      </c>
      <c r="W132" s="266"/>
      <c r="X132" s="327">
        <f t="shared" si="0"/>
        <v>59</v>
      </c>
      <c r="Y132" s="317">
        <v>-8.083186111111111</v>
      </c>
      <c r="Z132" s="317">
        <v>-7.704741666666667</v>
      </c>
      <c r="AA132" s="328"/>
      <c r="AB132" s="329">
        <f t="shared" ref="AB132" si="59">AB131+1</f>
        <v>59</v>
      </c>
      <c r="AC132" s="321">
        <v>-0.20997777777777779</v>
      </c>
      <c r="AD132" s="321">
        <v>-0.2068777777777778</v>
      </c>
      <c r="AE132" s="266"/>
      <c r="AF132" s="266"/>
      <c r="AG132" s="266"/>
      <c r="AH132" s="266"/>
      <c r="AI132" s="266"/>
      <c r="AJ132" s="266"/>
    </row>
    <row r="133" spans="1:36">
      <c r="A133" s="266"/>
      <c r="B133" s="345">
        <f t="shared" si="52"/>
        <v>8</v>
      </c>
      <c r="C133" s="345">
        <v>8</v>
      </c>
      <c r="D133" s="345" t="s">
        <v>80</v>
      </c>
      <c r="E133" s="345">
        <v>3</v>
      </c>
      <c r="F133" s="266"/>
      <c r="G133" s="266"/>
      <c r="H133" s="285">
        <v>4</v>
      </c>
      <c r="I133" s="286">
        <v>4</v>
      </c>
      <c r="J133" s="287">
        <v>4</v>
      </c>
      <c r="K133" s="287">
        <v>4</v>
      </c>
      <c r="L133" s="288">
        <v>3.9426000000000001</v>
      </c>
      <c r="M133" s="289">
        <v>3.9424000000000001</v>
      </c>
      <c r="N133" s="290">
        <v>52.705599999999997</v>
      </c>
      <c r="O133" s="291">
        <v>52.26</v>
      </c>
      <c r="P133" s="292">
        <v>52.917400000000001</v>
      </c>
      <c r="Q133" s="293">
        <v>48.762999999999998</v>
      </c>
      <c r="R133" s="294">
        <v>-9.9999999999999995E-7</v>
      </c>
      <c r="S133" s="295">
        <v>3.9426000000000001</v>
      </c>
      <c r="T133" s="266"/>
      <c r="U133" s="316">
        <v>57</v>
      </c>
      <c r="V133" s="316">
        <v>20819</v>
      </c>
      <c r="W133" s="266"/>
      <c r="X133" s="327">
        <f t="shared" si="0"/>
        <v>60</v>
      </c>
      <c r="Y133" s="317">
        <v>-7.704741666666667</v>
      </c>
      <c r="Z133" s="317">
        <v>-7.3244388888888885</v>
      </c>
      <c r="AA133" s="328"/>
      <c r="AB133" s="329">
        <f t="shared" ref="AB133" si="60">AB132+1</f>
        <v>60</v>
      </c>
      <c r="AC133" s="321">
        <v>-0.2068777777777778</v>
      </c>
      <c r="AD133" s="321">
        <v>-0.20363333333333333</v>
      </c>
      <c r="AE133" s="266"/>
      <c r="AF133" s="266"/>
      <c r="AG133" s="266"/>
      <c r="AH133" s="266"/>
      <c r="AI133" s="266"/>
      <c r="AJ133" s="266"/>
    </row>
    <row r="134" spans="1:36">
      <c r="A134" s="266"/>
      <c r="B134" s="345">
        <f t="shared" si="52"/>
        <v>9</v>
      </c>
      <c r="C134" s="345">
        <v>9</v>
      </c>
      <c r="D134" s="345" t="s">
        <v>81</v>
      </c>
      <c r="E134" s="345">
        <v>5</v>
      </c>
      <c r="F134" s="266"/>
      <c r="G134" s="266"/>
      <c r="H134" s="285">
        <v>5</v>
      </c>
      <c r="I134" s="286">
        <v>5</v>
      </c>
      <c r="J134" s="287">
        <v>5</v>
      </c>
      <c r="K134" s="287">
        <v>5</v>
      </c>
      <c r="L134" s="288">
        <v>4.9282000000000004</v>
      </c>
      <c r="M134" s="289">
        <v>4.9279999999999999</v>
      </c>
      <c r="N134" s="290">
        <v>65.882000000000005</v>
      </c>
      <c r="O134" s="291">
        <v>65.325000000000003</v>
      </c>
      <c r="P134" s="292">
        <v>66.146799999999999</v>
      </c>
      <c r="Q134" s="293">
        <v>60.953699999999998</v>
      </c>
      <c r="R134" s="294">
        <v>-1.9999999999999999E-6</v>
      </c>
      <c r="S134" s="295">
        <v>4.9282000000000004</v>
      </c>
      <c r="T134" s="266"/>
      <c r="U134" s="316">
        <v>58</v>
      </c>
      <c r="V134" s="316">
        <v>21184</v>
      </c>
      <c r="W134" s="266"/>
      <c r="X134" s="327">
        <f t="shared" si="0"/>
        <v>61</v>
      </c>
      <c r="Y134" s="317">
        <v>-7.3244388888888885</v>
      </c>
      <c r="Z134" s="317">
        <v>-6.942394444444445</v>
      </c>
      <c r="AA134" s="328"/>
      <c r="AB134" s="329">
        <f t="shared" ref="AB134" si="61">AB133+1</f>
        <v>61</v>
      </c>
      <c r="AC134" s="321">
        <v>-0.20363333333333333</v>
      </c>
      <c r="AD134" s="321">
        <v>-0.20025000000000001</v>
      </c>
      <c r="AE134" s="266"/>
      <c r="AF134" s="266"/>
      <c r="AG134" s="266"/>
      <c r="AH134" s="266"/>
      <c r="AI134" s="266"/>
      <c r="AJ134" s="266"/>
    </row>
    <row r="135" spans="1:36">
      <c r="A135" s="266"/>
      <c r="B135" s="345">
        <f t="shared" si="52"/>
        <v>10</v>
      </c>
      <c r="C135" s="345">
        <v>10</v>
      </c>
      <c r="D135" s="345" t="s">
        <v>82</v>
      </c>
      <c r="E135" s="345">
        <v>11</v>
      </c>
      <c r="F135" s="266"/>
      <c r="G135" s="266"/>
      <c r="H135" s="285">
        <v>6</v>
      </c>
      <c r="I135" s="286">
        <v>6</v>
      </c>
      <c r="J135" s="287">
        <v>6</v>
      </c>
      <c r="K135" s="287">
        <v>1</v>
      </c>
      <c r="L135" s="288">
        <v>5.9138999999999999</v>
      </c>
      <c r="M135" s="289">
        <v>5.9135999999999997</v>
      </c>
      <c r="N135" s="290">
        <v>79.058400000000006</v>
      </c>
      <c r="O135" s="291">
        <v>78.39</v>
      </c>
      <c r="P135" s="292">
        <v>79.376099999999994</v>
      </c>
      <c r="Q135" s="293">
        <v>73.144499999999994</v>
      </c>
      <c r="R135" s="294">
        <v>-1.9999999999999999E-6</v>
      </c>
      <c r="S135" s="295">
        <v>5.9138999999999999</v>
      </c>
      <c r="T135" s="266"/>
      <c r="U135" s="316">
        <v>59</v>
      </c>
      <c r="V135" s="316">
        <v>21549</v>
      </c>
      <c r="W135" s="266"/>
      <c r="X135" s="327">
        <f t="shared" si="0"/>
        <v>62</v>
      </c>
      <c r="Y135" s="317">
        <v>-6.942394444444445</v>
      </c>
      <c r="Z135" s="317">
        <v>-6.5587111111111112</v>
      </c>
      <c r="AA135" s="328"/>
      <c r="AB135" s="329">
        <f t="shared" ref="AB135" si="62">AB134+1</f>
        <v>62</v>
      </c>
      <c r="AC135" s="321">
        <v>-0.20025000000000001</v>
      </c>
      <c r="AD135" s="321">
        <v>-0.19673611111111111</v>
      </c>
      <c r="AE135" s="266"/>
      <c r="AF135" s="266"/>
      <c r="AG135" s="266"/>
      <c r="AH135" s="266"/>
      <c r="AI135" s="266"/>
      <c r="AJ135" s="266"/>
    </row>
    <row r="136" spans="1:36">
      <c r="A136" s="266"/>
      <c r="B136" s="345">
        <f t="shared" si="52"/>
        <v>11</v>
      </c>
      <c r="C136" s="345">
        <v>11</v>
      </c>
      <c r="D136" s="345" t="s">
        <v>83</v>
      </c>
      <c r="E136" s="345">
        <v>10</v>
      </c>
      <c r="F136" s="266"/>
      <c r="G136" s="266"/>
      <c r="H136" s="285">
        <v>7</v>
      </c>
      <c r="I136" s="286">
        <v>7</v>
      </c>
      <c r="J136" s="287">
        <v>7</v>
      </c>
      <c r="K136" s="287">
        <v>2</v>
      </c>
      <c r="L136" s="288">
        <v>6.8994999999999997</v>
      </c>
      <c r="M136" s="289">
        <v>6.8992000000000004</v>
      </c>
      <c r="N136" s="290">
        <v>92.234800000000007</v>
      </c>
      <c r="O136" s="291">
        <v>91.454999999999998</v>
      </c>
      <c r="P136" s="292">
        <v>92.605500000000006</v>
      </c>
      <c r="Q136" s="293">
        <v>85.3352</v>
      </c>
      <c r="R136" s="294">
        <v>-1.9999999999999999E-6</v>
      </c>
      <c r="S136" s="295">
        <v>6.8994999999999997</v>
      </c>
      <c r="T136" s="266"/>
      <c r="U136" s="316">
        <v>60</v>
      </c>
      <c r="V136" s="316">
        <v>21915</v>
      </c>
      <c r="W136" s="266"/>
      <c r="X136" s="327">
        <f t="shared" si="0"/>
        <v>63</v>
      </c>
      <c r="Y136" s="317">
        <v>-6.5587111111111112</v>
      </c>
      <c r="Z136" s="317">
        <v>-6.1735027777777782</v>
      </c>
      <c r="AA136" s="328"/>
      <c r="AB136" s="329">
        <f t="shared" ref="AB136" si="63">AB135+1</f>
        <v>63</v>
      </c>
      <c r="AC136" s="321">
        <v>-0.19673611111111111</v>
      </c>
      <c r="AD136" s="321">
        <v>-0.1930972222222222</v>
      </c>
      <c r="AE136" s="266"/>
      <c r="AF136" s="266"/>
      <c r="AG136" s="266"/>
      <c r="AH136" s="266"/>
      <c r="AI136" s="266"/>
      <c r="AJ136" s="266"/>
    </row>
    <row r="137" spans="1:36">
      <c r="A137" s="266"/>
      <c r="B137" s="345">
        <f t="shared" si="52"/>
        <v>12</v>
      </c>
      <c r="C137" s="345">
        <v>12</v>
      </c>
      <c r="D137" s="345" t="s">
        <v>84</v>
      </c>
      <c r="E137" s="345">
        <v>9</v>
      </c>
      <c r="F137" s="266"/>
      <c r="G137" s="266"/>
      <c r="H137" s="285">
        <v>8</v>
      </c>
      <c r="I137" s="286">
        <v>8</v>
      </c>
      <c r="J137" s="287">
        <v>1</v>
      </c>
      <c r="K137" s="287">
        <v>3</v>
      </c>
      <c r="L137" s="288">
        <v>7.8852000000000002</v>
      </c>
      <c r="M137" s="289">
        <v>7.8848000000000003</v>
      </c>
      <c r="N137" s="290">
        <v>105.41119999999999</v>
      </c>
      <c r="O137" s="291">
        <v>104.51990000000001</v>
      </c>
      <c r="P137" s="292">
        <v>105.8348</v>
      </c>
      <c r="Q137" s="293">
        <v>97.525999999999996</v>
      </c>
      <c r="R137" s="294">
        <v>-3.0000000000000001E-6</v>
      </c>
      <c r="S137" s="295">
        <v>7.8852000000000002</v>
      </c>
      <c r="T137" s="266"/>
      <c r="U137" s="316">
        <v>61</v>
      </c>
      <c r="V137" s="316">
        <v>22280</v>
      </c>
      <c r="W137" s="266"/>
      <c r="X137" s="327">
        <f t="shared" si="0"/>
        <v>64</v>
      </c>
      <c r="Y137" s="317">
        <v>-6.1735027777777782</v>
      </c>
      <c r="Z137" s="317">
        <v>-5.7868750000000002</v>
      </c>
      <c r="AA137" s="328"/>
      <c r="AB137" s="329">
        <f t="shared" ref="AB137" si="64">AB136+1</f>
        <v>64</v>
      </c>
      <c r="AC137" s="321">
        <v>-0.1930972222222222</v>
      </c>
      <c r="AD137" s="321">
        <v>-0.18933333333333333</v>
      </c>
      <c r="AE137" s="266"/>
      <c r="AF137" s="266"/>
      <c r="AG137" s="266"/>
      <c r="AH137" s="266"/>
      <c r="AI137" s="266"/>
      <c r="AJ137" s="266"/>
    </row>
    <row r="138" spans="1:36">
      <c r="A138" s="266"/>
      <c r="B138" s="266"/>
      <c r="C138" s="266"/>
      <c r="D138" s="266"/>
      <c r="E138" s="266"/>
      <c r="F138" s="266"/>
      <c r="G138" s="266"/>
      <c r="H138" s="285">
        <v>9</v>
      </c>
      <c r="I138" s="286">
        <v>9</v>
      </c>
      <c r="J138" s="287">
        <v>2</v>
      </c>
      <c r="K138" s="287">
        <v>4</v>
      </c>
      <c r="L138" s="288">
        <v>8.8707999999999991</v>
      </c>
      <c r="M138" s="289">
        <v>8.8704000000000001</v>
      </c>
      <c r="N138" s="290">
        <v>118.58759999999999</v>
      </c>
      <c r="O138" s="291">
        <v>117.5849</v>
      </c>
      <c r="P138" s="292">
        <v>119.0642</v>
      </c>
      <c r="Q138" s="293">
        <v>109.7167</v>
      </c>
      <c r="R138" s="294">
        <v>-3.0000000000000001E-6</v>
      </c>
      <c r="S138" s="295">
        <v>8.8707999999999991</v>
      </c>
      <c r="T138" s="266"/>
      <c r="U138" s="316">
        <v>62</v>
      </c>
      <c r="V138" s="316">
        <v>22645</v>
      </c>
      <c r="W138" s="266"/>
      <c r="X138" s="327">
        <f t="shared" si="0"/>
        <v>65</v>
      </c>
      <c r="Y138" s="317">
        <v>-5.7868750000000002</v>
      </c>
      <c r="Z138" s="317">
        <v>-5.398938888888889</v>
      </c>
      <c r="AA138" s="328"/>
      <c r="AB138" s="329">
        <f t="shared" ref="AB138" si="65">AB137+1</f>
        <v>65</v>
      </c>
      <c r="AC138" s="321">
        <v>-0.18933333333333333</v>
      </c>
      <c r="AD138" s="321">
        <v>-0.18545277777777777</v>
      </c>
      <c r="AE138" s="266"/>
      <c r="AF138" s="266"/>
      <c r="AG138" s="266"/>
      <c r="AH138" s="266"/>
      <c r="AI138" s="266"/>
      <c r="AJ138" s="266"/>
    </row>
    <row r="139" spans="1:36">
      <c r="A139" s="266"/>
      <c r="B139" s="346" t="s">
        <v>85</v>
      </c>
      <c r="C139" s="347" t="s">
        <v>86</v>
      </c>
      <c r="D139" s="348" t="s">
        <v>87</v>
      </c>
      <c r="E139" s="266"/>
      <c r="F139" s="266"/>
      <c r="G139" s="266"/>
      <c r="H139" s="285">
        <v>10</v>
      </c>
      <c r="I139" s="286">
        <v>10</v>
      </c>
      <c r="J139" s="287">
        <v>3</v>
      </c>
      <c r="K139" s="287">
        <v>5</v>
      </c>
      <c r="L139" s="288">
        <v>9.8565000000000005</v>
      </c>
      <c r="M139" s="289">
        <v>9.8559999999999999</v>
      </c>
      <c r="N139" s="290">
        <v>131.76400000000001</v>
      </c>
      <c r="O139" s="291">
        <v>130.6499</v>
      </c>
      <c r="P139" s="292">
        <v>132.29349999999999</v>
      </c>
      <c r="Q139" s="293">
        <v>121.9075</v>
      </c>
      <c r="R139" s="294">
        <v>-3.9999999999999998E-6</v>
      </c>
      <c r="S139" s="295">
        <v>9.8565000000000005</v>
      </c>
      <c r="T139" s="266"/>
      <c r="U139" s="316">
        <v>63</v>
      </c>
      <c r="V139" s="316">
        <v>23010</v>
      </c>
      <c r="W139" s="266"/>
      <c r="X139" s="327">
        <f t="shared" si="0"/>
        <v>66</v>
      </c>
      <c r="Y139" s="317">
        <v>-5.398938888888889</v>
      </c>
      <c r="Z139" s="317">
        <v>-5.0098000000000003</v>
      </c>
      <c r="AA139" s="328"/>
      <c r="AB139" s="329">
        <f t="shared" ref="AB139" si="66">AB138+1</f>
        <v>66</v>
      </c>
      <c r="AC139" s="321">
        <v>-0.18545277777777777</v>
      </c>
      <c r="AD139" s="321">
        <v>-0.18146388888888887</v>
      </c>
      <c r="AE139" s="266"/>
      <c r="AF139" s="266"/>
      <c r="AG139" s="266"/>
      <c r="AH139" s="266"/>
      <c r="AI139" s="266"/>
      <c r="AJ139" s="266"/>
    </row>
    <row r="140" spans="1:36">
      <c r="A140" s="266"/>
      <c r="B140" s="349">
        <v>0</v>
      </c>
      <c r="C140" s="344" t="s">
        <v>88</v>
      </c>
      <c r="D140" s="350" t="s">
        <v>89</v>
      </c>
      <c r="E140" s="266"/>
      <c r="F140" s="266"/>
      <c r="G140" s="266"/>
      <c r="H140" s="285">
        <v>11</v>
      </c>
      <c r="I140" s="286">
        <v>11</v>
      </c>
      <c r="J140" s="287">
        <v>4</v>
      </c>
      <c r="K140" s="287">
        <v>1</v>
      </c>
      <c r="L140" s="288">
        <v>10.8421</v>
      </c>
      <c r="M140" s="289">
        <v>10.8416</v>
      </c>
      <c r="N140" s="290">
        <v>144.94040000000001</v>
      </c>
      <c r="O140" s="291">
        <v>143.7149</v>
      </c>
      <c r="P140" s="292">
        <v>145.52289999999999</v>
      </c>
      <c r="Q140" s="293">
        <v>134.09819999999999</v>
      </c>
      <c r="R140" s="294">
        <v>-3.9999999999999998E-6</v>
      </c>
      <c r="S140" s="295">
        <v>10.8421</v>
      </c>
      <c r="T140" s="266"/>
      <c r="U140" s="316">
        <v>64</v>
      </c>
      <c r="V140" s="316">
        <v>23376</v>
      </c>
      <c r="W140" s="266"/>
      <c r="X140" s="327">
        <f t="shared" ref="X140:X203" si="67">X139+1</f>
        <v>67</v>
      </c>
      <c r="Y140" s="317">
        <v>-5.0098000000000003</v>
      </c>
      <c r="Z140" s="317">
        <v>-4.619563888888889</v>
      </c>
      <c r="AA140" s="328"/>
      <c r="AB140" s="329">
        <f t="shared" ref="AB140" si="68">AB139+1</f>
        <v>67</v>
      </c>
      <c r="AC140" s="321">
        <v>-0.18146388888888887</v>
      </c>
      <c r="AD140" s="321">
        <v>-0.17736666666666667</v>
      </c>
      <c r="AE140" s="266"/>
      <c r="AF140" s="266"/>
      <c r="AG140" s="266"/>
      <c r="AH140" s="266"/>
      <c r="AI140" s="266"/>
      <c r="AJ140" s="266"/>
    </row>
    <row r="141" spans="1:36">
      <c r="A141" s="266"/>
      <c r="B141" s="349">
        <v>1</v>
      </c>
      <c r="C141" s="344" t="s">
        <v>90</v>
      </c>
      <c r="D141" s="350" t="s">
        <v>91</v>
      </c>
      <c r="E141" s="266"/>
      <c r="F141" s="266"/>
      <c r="G141" s="266"/>
      <c r="H141" s="285">
        <v>12</v>
      </c>
      <c r="I141" s="286">
        <v>12</v>
      </c>
      <c r="J141" s="287">
        <v>5</v>
      </c>
      <c r="K141" s="287">
        <v>2</v>
      </c>
      <c r="L141" s="288">
        <v>11.8278</v>
      </c>
      <c r="M141" s="289">
        <v>11.827199999999999</v>
      </c>
      <c r="N141" s="290">
        <v>158.11680000000001</v>
      </c>
      <c r="O141" s="291">
        <v>156.7799</v>
      </c>
      <c r="P141" s="292">
        <v>158.75219999999999</v>
      </c>
      <c r="Q141" s="293">
        <v>146.28899999999999</v>
      </c>
      <c r="R141" s="294">
        <v>-3.9999999999999998E-6</v>
      </c>
      <c r="S141" s="295">
        <v>11.8278</v>
      </c>
      <c r="T141" s="266"/>
      <c r="U141" s="316">
        <v>65</v>
      </c>
      <c r="V141" s="316">
        <v>23741</v>
      </c>
      <c r="W141" s="266"/>
      <c r="X141" s="327">
        <f t="shared" si="67"/>
        <v>68</v>
      </c>
      <c r="Y141" s="317">
        <v>-4.619563888888889</v>
      </c>
      <c r="Z141" s="317">
        <v>-4.2283388888888886</v>
      </c>
      <c r="AA141" s="328"/>
      <c r="AB141" s="329">
        <f t="shared" ref="AB141" si="69">AB140+1</f>
        <v>68</v>
      </c>
      <c r="AC141" s="321">
        <v>-0.17736666666666667</v>
      </c>
      <c r="AD141" s="321">
        <v>-0.17316944444444443</v>
      </c>
      <c r="AE141" s="266"/>
      <c r="AF141" s="266"/>
      <c r="AG141" s="266"/>
      <c r="AH141" s="266"/>
      <c r="AI141" s="266"/>
      <c r="AJ141" s="266"/>
    </row>
    <row r="142" spans="1:36">
      <c r="A142" s="266"/>
      <c r="B142" s="349">
        <v>2</v>
      </c>
      <c r="C142" s="344" t="s">
        <v>92</v>
      </c>
      <c r="D142" s="350" t="s">
        <v>93</v>
      </c>
      <c r="E142" s="266"/>
      <c r="F142" s="266"/>
      <c r="G142" s="266"/>
      <c r="H142" s="285">
        <v>13</v>
      </c>
      <c r="I142" s="286">
        <v>13</v>
      </c>
      <c r="J142" s="287">
        <v>6</v>
      </c>
      <c r="K142" s="287">
        <v>3</v>
      </c>
      <c r="L142" s="288">
        <v>12.8134</v>
      </c>
      <c r="M142" s="289">
        <v>12.812799999999999</v>
      </c>
      <c r="N142" s="290">
        <v>171.29320000000001</v>
      </c>
      <c r="O142" s="291">
        <v>169.8449</v>
      </c>
      <c r="P142" s="292">
        <v>171.98159999999999</v>
      </c>
      <c r="Q142" s="293">
        <v>158.47970000000001</v>
      </c>
      <c r="R142" s="294">
        <v>-5.0000000000000004E-6</v>
      </c>
      <c r="S142" s="295">
        <v>12.8134</v>
      </c>
      <c r="T142" s="266"/>
      <c r="U142" s="316">
        <v>66</v>
      </c>
      <c r="V142" s="316">
        <v>24106</v>
      </c>
      <c r="W142" s="266"/>
      <c r="X142" s="327">
        <f t="shared" si="67"/>
        <v>69</v>
      </c>
      <c r="Y142" s="317">
        <v>-4.2283388888888886</v>
      </c>
      <c r="Z142" s="317">
        <v>-3.8362305555555558</v>
      </c>
      <c r="AA142" s="328"/>
      <c r="AB142" s="329">
        <f t="shared" ref="AB142" si="70">AB141+1</f>
        <v>69</v>
      </c>
      <c r="AC142" s="321">
        <v>-0.17316944444444443</v>
      </c>
      <c r="AD142" s="321">
        <v>-0.16887777777777777</v>
      </c>
      <c r="AE142" s="266"/>
      <c r="AF142" s="266"/>
      <c r="AG142" s="266"/>
      <c r="AH142" s="266"/>
      <c r="AI142" s="266"/>
      <c r="AJ142" s="266"/>
    </row>
    <row r="143" spans="1:36">
      <c r="A143" s="266"/>
      <c r="B143" s="349">
        <v>3</v>
      </c>
      <c r="C143" s="344" t="s">
        <v>94</v>
      </c>
      <c r="D143" s="350" t="s">
        <v>95</v>
      </c>
      <c r="E143" s="266"/>
      <c r="F143" s="266"/>
      <c r="G143" s="266"/>
      <c r="H143" s="285">
        <v>14</v>
      </c>
      <c r="I143" s="286">
        <v>14</v>
      </c>
      <c r="J143" s="287">
        <v>7</v>
      </c>
      <c r="K143" s="287">
        <v>4</v>
      </c>
      <c r="L143" s="288">
        <v>13.799099999999999</v>
      </c>
      <c r="M143" s="289">
        <v>13.798400000000001</v>
      </c>
      <c r="N143" s="290">
        <v>184.46960000000001</v>
      </c>
      <c r="O143" s="291">
        <v>182.90989999999999</v>
      </c>
      <c r="P143" s="292">
        <v>185.21090000000001</v>
      </c>
      <c r="Q143" s="293">
        <v>170.6705</v>
      </c>
      <c r="R143" s="294">
        <v>-5.0000000000000004E-6</v>
      </c>
      <c r="S143" s="295">
        <v>13.799099999999999</v>
      </c>
      <c r="T143" s="266"/>
      <c r="U143" s="316">
        <v>67</v>
      </c>
      <c r="V143" s="316">
        <v>24471</v>
      </c>
      <c r="W143" s="266"/>
      <c r="X143" s="327">
        <f t="shared" si="67"/>
        <v>70</v>
      </c>
      <c r="Y143" s="317">
        <v>-3.8362305555555558</v>
      </c>
      <c r="Z143" s="317">
        <v>-3.4433444444444445</v>
      </c>
      <c r="AA143" s="328"/>
      <c r="AB143" s="329">
        <f t="shared" ref="AB143" si="71">AB142+1</f>
        <v>70</v>
      </c>
      <c r="AC143" s="321">
        <v>-0.16887777777777777</v>
      </c>
      <c r="AD143" s="321">
        <v>-0.16449722222222221</v>
      </c>
      <c r="AE143" s="266"/>
      <c r="AF143" s="266"/>
      <c r="AG143" s="266"/>
      <c r="AH143" s="266"/>
      <c r="AI143" s="266"/>
      <c r="AJ143" s="266"/>
    </row>
    <row r="144" spans="1:36">
      <c r="A144" s="266"/>
      <c r="B144" s="349">
        <v>4</v>
      </c>
      <c r="C144" s="344" t="s">
        <v>96</v>
      </c>
      <c r="D144" s="350" t="s">
        <v>97</v>
      </c>
      <c r="E144" s="266"/>
      <c r="F144" s="266"/>
      <c r="G144" s="266"/>
      <c r="H144" s="285">
        <v>15</v>
      </c>
      <c r="I144" s="286">
        <v>15</v>
      </c>
      <c r="J144" s="287">
        <v>1</v>
      </c>
      <c r="K144" s="287">
        <v>5</v>
      </c>
      <c r="L144" s="288">
        <v>14.784700000000001</v>
      </c>
      <c r="M144" s="289">
        <v>14.784000000000001</v>
      </c>
      <c r="N144" s="290">
        <v>197.64590000000001</v>
      </c>
      <c r="O144" s="291">
        <v>195.97489999999999</v>
      </c>
      <c r="P144" s="292">
        <v>198.44030000000001</v>
      </c>
      <c r="Q144" s="293">
        <v>182.8612</v>
      </c>
      <c r="R144" s="294">
        <v>-5.0000000000000004E-6</v>
      </c>
      <c r="S144" s="295">
        <v>14.784700000000001</v>
      </c>
      <c r="T144" s="266"/>
      <c r="U144" s="316">
        <v>68</v>
      </c>
      <c r="V144" s="316">
        <v>24837</v>
      </c>
      <c r="W144" s="266"/>
      <c r="X144" s="327">
        <f t="shared" si="67"/>
        <v>71</v>
      </c>
      <c r="Y144" s="317">
        <v>-3.4433444444444445</v>
      </c>
      <c r="Z144" s="317">
        <v>-3.0497861111111111</v>
      </c>
      <c r="AA144" s="328"/>
      <c r="AB144" s="329">
        <f t="shared" ref="AB144" si="72">AB143+1</f>
        <v>71</v>
      </c>
      <c r="AC144" s="321">
        <v>-0.16449722222222221</v>
      </c>
      <c r="AD144" s="321">
        <v>-0.16003333333333333</v>
      </c>
      <c r="AE144" s="266"/>
      <c r="AF144" s="266"/>
      <c r="AG144" s="266"/>
      <c r="AH144" s="266"/>
      <c r="AI144" s="266"/>
      <c r="AJ144" s="266"/>
    </row>
    <row r="145" spans="1:36">
      <c r="A145" s="266"/>
      <c r="B145" s="349">
        <v>5</v>
      </c>
      <c r="C145" s="344" t="s">
        <v>98</v>
      </c>
      <c r="D145" s="350"/>
      <c r="E145" s="266"/>
      <c r="F145" s="266"/>
      <c r="G145" s="266"/>
      <c r="H145" s="285">
        <v>16</v>
      </c>
      <c r="I145" s="286">
        <v>16</v>
      </c>
      <c r="J145" s="287">
        <v>2</v>
      </c>
      <c r="K145" s="287">
        <v>1</v>
      </c>
      <c r="L145" s="288">
        <v>15.7704</v>
      </c>
      <c r="M145" s="289">
        <v>15.769600000000001</v>
      </c>
      <c r="N145" s="290">
        <v>210.82230000000001</v>
      </c>
      <c r="O145" s="291">
        <v>209.03989999999999</v>
      </c>
      <c r="P145" s="292">
        <v>211.6696</v>
      </c>
      <c r="Q145" s="293">
        <v>195.05199999999999</v>
      </c>
      <c r="R145" s="294">
        <v>-6.0000000000000002E-6</v>
      </c>
      <c r="S145" s="295">
        <v>15.7704</v>
      </c>
      <c r="T145" s="266"/>
      <c r="U145" s="316">
        <v>69</v>
      </c>
      <c r="V145" s="316">
        <v>25202</v>
      </c>
      <c r="W145" s="266"/>
      <c r="X145" s="327">
        <f t="shared" si="67"/>
        <v>72</v>
      </c>
      <c r="Y145" s="317">
        <v>-3.0497861111111111</v>
      </c>
      <c r="Z145" s="317">
        <v>-2.6556611111111108</v>
      </c>
      <c r="AA145" s="328"/>
      <c r="AB145" s="329">
        <f t="shared" ref="AB145" si="73">AB144+1</f>
        <v>72</v>
      </c>
      <c r="AC145" s="321">
        <v>-0.16003333333333333</v>
      </c>
      <c r="AD145" s="321">
        <v>-0.15549166666666667</v>
      </c>
      <c r="AE145" s="266"/>
      <c r="AF145" s="266"/>
      <c r="AG145" s="266"/>
      <c r="AH145" s="266"/>
      <c r="AI145" s="266"/>
      <c r="AJ145" s="266"/>
    </row>
    <row r="146" spans="1:36">
      <c r="A146" s="266"/>
      <c r="B146" s="351">
        <v>6</v>
      </c>
      <c r="C146" s="352" t="s">
        <v>99</v>
      </c>
      <c r="D146" s="353"/>
      <c r="E146" s="266"/>
      <c r="F146" s="266"/>
      <c r="G146" s="266"/>
      <c r="H146" s="285">
        <v>17</v>
      </c>
      <c r="I146" s="286">
        <v>17</v>
      </c>
      <c r="J146" s="287">
        <v>3</v>
      </c>
      <c r="K146" s="287">
        <v>2</v>
      </c>
      <c r="L146" s="288">
        <v>16.756</v>
      </c>
      <c r="M146" s="289">
        <v>16.755199999999999</v>
      </c>
      <c r="N146" s="290">
        <v>223.99870000000001</v>
      </c>
      <c r="O146" s="291">
        <v>222.10489999999999</v>
      </c>
      <c r="P146" s="292">
        <v>224.899</v>
      </c>
      <c r="Q146" s="293">
        <v>207.24270000000001</v>
      </c>
      <c r="R146" s="294">
        <v>-6.0000000000000002E-6</v>
      </c>
      <c r="S146" s="295">
        <v>16.756</v>
      </c>
      <c r="T146" s="343"/>
      <c r="U146" s="316">
        <v>70</v>
      </c>
      <c r="V146" s="316">
        <v>25567</v>
      </c>
      <c r="W146" s="266"/>
      <c r="X146" s="327">
        <f t="shared" si="67"/>
        <v>73</v>
      </c>
      <c r="Y146" s="317">
        <v>-2.6556611111111108</v>
      </c>
      <c r="Z146" s="317">
        <v>-2.2610694444444444</v>
      </c>
      <c r="AA146" s="328"/>
      <c r="AB146" s="329">
        <f t="shared" ref="AB146" si="74">AB145+1</f>
        <v>73</v>
      </c>
      <c r="AC146" s="321">
        <v>-0.15549166666666667</v>
      </c>
      <c r="AD146" s="321">
        <v>-0.15087777777777778</v>
      </c>
      <c r="AE146" s="266"/>
      <c r="AF146" s="266"/>
      <c r="AG146" s="266"/>
      <c r="AH146" s="266"/>
      <c r="AI146" s="266"/>
      <c r="AJ146" s="266"/>
    </row>
    <row r="147" spans="1:36">
      <c r="A147" s="266"/>
      <c r="B147" s="266"/>
      <c r="C147" s="266"/>
      <c r="D147" s="266"/>
      <c r="E147" s="266"/>
      <c r="F147" s="266"/>
      <c r="G147" s="266"/>
      <c r="H147" s="285">
        <v>18</v>
      </c>
      <c r="I147" s="286">
        <v>18</v>
      </c>
      <c r="J147" s="287">
        <v>4</v>
      </c>
      <c r="K147" s="287">
        <v>3</v>
      </c>
      <c r="L147" s="288">
        <v>17.741700000000002</v>
      </c>
      <c r="M147" s="289">
        <v>17.7408</v>
      </c>
      <c r="N147" s="290">
        <v>237.17509999999999</v>
      </c>
      <c r="O147" s="291">
        <v>235.16990000000001</v>
      </c>
      <c r="P147" s="292">
        <v>238.1283</v>
      </c>
      <c r="Q147" s="293">
        <v>219.43350000000001</v>
      </c>
      <c r="R147" s="294">
        <v>-6.0000000000000002E-6</v>
      </c>
      <c r="S147" s="295">
        <v>17.741700000000002</v>
      </c>
      <c r="T147" s="266"/>
      <c r="U147" s="316">
        <v>71</v>
      </c>
      <c r="V147" s="316">
        <v>25932</v>
      </c>
      <c r="W147" s="266"/>
      <c r="X147" s="327">
        <f t="shared" si="67"/>
        <v>74</v>
      </c>
      <c r="Y147" s="317">
        <v>-2.2610694444444444</v>
      </c>
      <c r="Z147" s="317">
        <v>-1.8661166666666666</v>
      </c>
      <c r="AA147" s="328"/>
      <c r="AB147" s="329">
        <f t="shared" ref="AB147" si="75">AB146+1</f>
        <v>74</v>
      </c>
      <c r="AC147" s="321">
        <v>-0.15087777777777778</v>
      </c>
      <c r="AD147" s="321">
        <v>-0.14619722222222223</v>
      </c>
      <c r="AE147" s="266"/>
      <c r="AF147" s="266"/>
      <c r="AG147" s="266"/>
      <c r="AH147" s="266"/>
      <c r="AI147" s="266"/>
      <c r="AJ147" s="266"/>
    </row>
    <row r="148" spans="1:36">
      <c r="A148" s="266"/>
      <c r="B148" s="354">
        <v>1</v>
      </c>
      <c r="C148" s="355" t="s">
        <v>100</v>
      </c>
      <c r="D148" s="266"/>
      <c r="E148" s="266"/>
      <c r="F148" s="266"/>
      <c r="G148" s="266"/>
      <c r="H148" s="285">
        <v>19</v>
      </c>
      <c r="I148" s="286">
        <v>19</v>
      </c>
      <c r="J148" s="287">
        <v>5</v>
      </c>
      <c r="K148" s="287">
        <v>4</v>
      </c>
      <c r="L148" s="288">
        <v>18.7273</v>
      </c>
      <c r="M148" s="289">
        <v>18.726400000000002</v>
      </c>
      <c r="N148" s="290">
        <v>250.35149999999999</v>
      </c>
      <c r="O148" s="291">
        <v>248.23490000000001</v>
      </c>
      <c r="P148" s="292">
        <v>251.35769999999999</v>
      </c>
      <c r="Q148" s="293">
        <v>231.6242</v>
      </c>
      <c r="R148" s="294">
        <v>-6.9999999999999999E-6</v>
      </c>
      <c r="S148" s="295">
        <v>18.7273</v>
      </c>
      <c r="T148" s="266"/>
      <c r="U148" s="316">
        <v>72</v>
      </c>
      <c r="V148" s="316">
        <v>26298</v>
      </c>
      <c r="W148" s="266"/>
      <c r="X148" s="327">
        <f t="shared" si="67"/>
        <v>75</v>
      </c>
      <c r="Y148" s="317">
        <v>-1.8661166666666666</v>
      </c>
      <c r="Z148" s="317">
        <v>-1.4709055555555557</v>
      </c>
      <c r="AA148" s="328"/>
      <c r="AB148" s="329">
        <f t="shared" ref="AB148" si="76">AB147+1</f>
        <v>75</v>
      </c>
      <c r="AC148" s="321">
        <v>-0.14619722222222223</v>
      </c>
      <c r="AD148" s="321">
        <v>-0.14145555555555556</v>
      </c>
      <c r="AE148" s="266"/>
      <c r="AF148" s="266"/>
      <c r="AG148" s="266"/>
      <c r="AH148" s="266"/>
      <c r="AI148" s="266"/>
      <c r="AJ148" s="266"/>
    </row>
    <row r="149" spans="1:36">
      <c r="A149" s="266"/>
      <c r="B149" s="356">
        <v>2</v>
      </c>
      <c r="C149" s="357" t="s">
        <v>101</v>
      </c>
      <c r="D149" s="266"/>
      <c r="E149" s="266"/>
      <c r="F149" s="266"/>
      <c r="G149" s="266"/>
      <c r="H149" s="285">
        <v>20</v>
      </c>
      <c r="I149" s="286">
        <v>20</v>
      </c>
      <c r="J149" s="287">
        <v>6</v>
      </c>
      <c r="K149" s="287">
        <v>5</v>
      </c>
      <c r="L149" s="288">
        <v>19.712900000000001</v>
      </c>
      <c r="M149" s="289">
        <v>19.712</v>
      </c>
      <c r="N149" s="290">
        <v>263.52789999999999</v>
      </c>
      <c r="O149" s="291">
        <v>261.29989999999998</v>
      </c>
      <c r="P149" s="292">
        <v>264.58699999999999</v>
      </c>
      <c r="Q149" s="293">
        <v>243.815</v>
      </c>
      <c r="R149" s="294">
        <v>-6.9999999999999999E-6</v>
      </c>
      <c r="S149" s="295">
        <v>19.712900000000001</v>
      </c>
      <c r="T149" s="266"/>
      <c r="U149" s="316">
        <v>73</v>
      </c>
      <c r="V149" s="316">
        <v>26663</v>
      </c>
      <c r="W149" s="266"/>
      <c r="X149" s="327">
        <f t="shared" si="67"/>
        <v>76</v>
      </c>
      <c r="Y149" s="317">
        <v>-1.4709055555555557</v>
      </c>
      <c r="Z149" s="317">
        <v>-1.0755416666666666</v>
      </c>
      <c r="AA149" s="328"/>
      <c r="AB149" s="329">
        <f t="shared" ref="AB149" si="77">AB148+1</f>
        <v>76</v>
      </c>
      <c r="AC149" s="321">
        <v>-0.14145555555555556</v>
      </c>
      <c r="AD149" s="321">
        <v>-0.13665833333333333</v>
      </c>
      <c r="AE149" s="266"/>
      <c r="AF149" s="266"/>
      <c r="AG149" s="266"/>
      <c r="AH149" s="266"/>
      <c r="AI149" s="266"/>
      <c r="AJ149" s="266"/>
    </row>
    <row r="150" spans="1:36">
      <c r="A150" s="266"/>
      <c r="B150" s="356">
        <v>3</v>
      </c>
      <c r="C150" s="357" t="s">
        <v>102</v>
      </c>
      <c r="D150" s="266"/>
      <c r="E150" s="266"/>
      <c r="F150" s="266"/>
      <c r="G150" s="266"/>
      <c r="H150" s="285">
        <v>21</v>
      </c>
      <c r="I150" s="286">
        <v>21</v>
      </c>
      <c r="J150" s="287">
        <v>7</v>
      </c>
      <c r="K150" s="287">
        <v>1</v>
      </c>
      <c r="L150" s="288">
        <v>20.698599999999999</v>
      </c>
      <c r="M150" s="289">
        <v>20.697600000000001</v>
      </c>
      <c r="N150" s="290">
        <v>276.70429999999999</v>
      </c>
      <c r="O150" s="291">
        <v>274.36489999999998</v>
      </c>
      <c r="P150" s="292">
        <v>277.81639999999999</v>
      </c>
      <c r="Q150" s="293">
        <v>256.00569999999999</v>
      </c>
      <c r="R150" s="294">
        <v>-6.9999999999999999E-6</v>
      </c>
      <c r="S150" s="295">
        <v>20.698599999999999</v>
      </c>
      <c r="T150" s="266"/>
      <c r="U150" s="316">
        <v>74</v>
      </c>
      <c r="V150" s="316">
        <v>27028</v>
      </c>
      <c r="W150" s="266"/>
      <c r="X150" s="327">
        <f t="shared" si="67"/>
        <v>77</v>
      </c>
      <c r="Y150" s="317">
        <v>-1.0755416666666666</v>
      </c>
      <c r="Z150" s="317">
        <v>-0.68012222222222218</v>
      </c>
      <c r="AA150" s="328"/>
      <c r="AB150" s="329">
        <f t="shared" ref="AB150" si="78">AB149+1</f>
        <v>77</v>
      </c>
      <c r="AC150" s="321">
        <v>-0.13665833333333333</v>
      </c>
      <c r="AD150" s="321">
        <v>-0.1318111111111111</v>
      </c>
      <c r="AE150" s="266"/>
      <c r="AF150" s="266"/>
      <c r="AG150" s="266"/>
      <c r="AH150" s="266"/>
      <c r="AI150" s="266"/>
      <c r="AJ150" s="266"/>
    </row>
    <row r="151" spans="1:36">
      <c r="A151" s="266"/>
      <c r="B151" s="356">
        <v>4</v>
      </c>
      <c r="C151" s="357" t="s">
        <v>103</v>
      </c>
      <c r="D151" s="266"/>
      <c r="E151" s="266"/>
      <c r="F151" s="266"/>
      <c r="G151" s="266"/>
      <c r="H151" s="285">
        <v>22</v>
      </c>
      <c r="I151" s="286">
        <v>22</v>
      </c>
      <c r="J151" s="287">
        <v>1</v>
      </c>
      <c r="K151" s="287">
        <v>2</v>
      </c>
      <c r="L151" s="288">
        <v>21.684200000000001</v>
      </c>
      <c r="M151" s="289">
        <v>21.683199999999999</v>
      </c>
      <c r="N151" s="290">
        <v>289.88069999999999</v>
      </c>
      <c r="O151" s="291">
        <v>287.4298</v>
      </c>
      <c r="P151" s="292">
        <v>291.04570000000001</v>
      </c>
      <c r="Q151" s="293">
        <v>268.19650000000001</v>
      </c>
      <c r="R151" s="294">
        <v>-7.9999999999999996E-6</v>
      </c>
      <c r="S151" s="295">
        <v>21.684200000000001</v>
      </c>
      <c r="T151" s="266"/>
      <c r="U151" s="316">
        <v>75</v>
      </c>
      <c r="V151" s="316">
        <v>27393</v>
      </c>
      <c r="W151" s="266"/>
      <c r="X151" s="327">
        <f t="shared" si="67"/>
        <v>78</v>
      </c>
      <c r="Y151" s="317">
        <v>-0.68012222222222218</v>
      </c>
      <c r="Z151" s="317">
        <v>-0.28475277777777774</v>
      </c>
      <c r="AA151" s="328"/>
      <c r="AB151" s="329">
        <f t="shared" ref="AB151" si="79">AB150+1</f>
        <v>78</v>
      </c>
      <c r="AC151" s="321">
        <v>-0.1318111111111111</v>
      </c>
      <c r="AD151" s="321">
        <v>-0.12691944444444445</v>
      </c>
      <c r="AE151" s="266"/>
      <c r="AF151" s="266"/>
      <c r="AG151" s="266"/>
      <c r="AH151" s="266"/>
      <c r="AI151" s="266"/>
      <c r="AJ151" s="266"/>
    </row>
    <row r="152" spans="1:36">
      <c r="A152" s="266"/>
      <c r="B152" s="356">
        <v>5</v>
      </c>
      <c r="C152" s="357" t="s">
        <v>104</v>
      </c>
      <c r="D152" s="266"/>
      <c r="E152" s="266"/>
      <c r="F152" s="266"/>
      <c r="G152" s="266"/>
      <c r="H152" s="285">
        <v>23</v>
      </c>
      <c r="I152" s="286">
        <v>23</v>
      </c>
      <c r="J152" s="287">
        <v>2</v>
      </c>
      <c r="K152" s="287">
        <v>3</v>
      </c>
      <c r="L152" s="288">
        <v>22.669899999999998</v>
      </c>
      <c r="M152" s="289">
        <v>22.668800000000001</v>
      </c>
      <c r="N152" s="290">
        <v>303.05709999999999</v>
      </c>
      <c r="O152" s="291">
        <v>300.4948</v>
      </c>
      <c r="P152" s="292">
        <v>304.27510000000001</v>
      </c>
      <c r="Q152" s="293">
        <v>280.38720000000001</v>
      </c>
      <c r="R152" s="294">
        <v>-7.9999999999999996E-6</v>
      </c>
      <c r="S152" s="295">
        <v>22.669899999999998</v>
      </c>
      <c r="T152" s="266"/>
      <c r="U152" s="316">
        <v>76</v>
      </c>
      <c r="V152" s="316">
        <v>27759</v>
      </c>
      <c r="W152" s="266"/>
      <c r="X152" s="327">
        <f t="shared" si="67"/>
        <v>79</v>
      </c>
      <c r="Y152" s="317">
        <v>-0.28475277777777774</v>
      </c>
      <c r="Z152" s="317">
        <v>0.11046944444444445</v>
      </c>
      <c r="AA152" s="328"/>
      <c r="AB152" s="329">
        <f t="shared" ref="AB152" si="80">AB151+1</f>
        <v>79</v>
      </c>
      <c r="AC152" s="321">
        <v>-0.12691944444444445</v>
      </c>
      <c r="AD152" s="321">
        <v>-0.12199166666666666</v>
      </c>
      <c r="AE152" s="266"/>
      <c r="AF152" s="266"/>
      <c r="AG152" s="266"/>
      <c r="AH152" s="266"/>
      <c r="AI152" s="266"/>
      <c r="AJ152" s="266"/>
    </row>
    <row r="153" spans="1:36">
      <c r="A153" s="266"/>
      <c r="B153" s="356">
        <v>6</v>
      </c>
      <c r="C153" s="357" t="s">
        <v>334</v>
      </c>
      <c r="D153" s="266"/>
      <c r="E153" s="266"/>
      <c r="F153" s="266"/>
      <c r="G153" s="266"/>
      <c r="H153" s="285">
        <v>24</v>
      </c>
      <c r="I153" s="286">
        <v>24</v>
      </c>
      <c r="J153" s="287">
        <v>3</v>
      </c>
      <c r="K153" s="287">
        <v>4</v>
      </c>
      <c r="L153" s="288">
        <v>23.6555</v>
      </c>
      <c r="M153" s="289">
        <v>23.654399999999999</v>
      </c>
      <c r="N153" s="290">
        <v>316.23349999999999</v>
      </c>
      <c r="O153" s="291">
        <v>313.5598</v>
      </c>
      <c r="P153" s="292">
        <v>317.50439999999998</v>
      </c>
      <c r="Q153" s="293">
        <v>292.57799999999997</v>
      </c>
      <c r="R153" s="294">
        <v>-9.0000000000000002E-6</v>
      </c>
      <c r="S153" s="295">
        <v>23.6555</v>
      </c>
      <c r="T153" s="266"/>
      <c r="U153" s="316">
        <v>77</v>
      </c>
      <c r="V153" s="316">
        <v>28124</v>
      </c>
      <c r="W153" s="266"/>
      <c r="X153" s="327">
        <f t="shared" si="67"/>
        <v>80</v>
      </c>
      <c r="Y153" s="317">
        <v>0.11046944444444445</v>
      </c>
      <c r="Z153" s="317">
        <v>0.50543888888888888</v>
      </c>
      <c r="AA153" s="328"/>
      <c r="AB153" s="329">
        <f t="shared" ref="AB153" si="81">AB152+1</f>
        <v>80</v>
      </c>
      <c r="AC153" s="321">
        <v>-0.12199166666666666</v>
      </c>
      <c r="AD153" s="321">
        <v>-0.11702777777777779</v>
      </c>
      <c r="AE153" s="266"/>
      <c r="AF153" s="266"/>
      <c r="AG153" s="266"/>
      <c r="AH153" s="266"/>
      <c r="AI153" s="266"/>
      <c r="AJ153" s="266"/>
    </row>
    <row r="154" spans="1:36">
      <c r="A154" s="266"/>
      <c r="B154" s="356">
        <v>7</v>
      </c>
      <c r="C154" s="357" t="s">
        <v>105</v>
      </c>
      <c r="D154" s="266"/>
      <c r="E154" s="266"/>
      <c r="F154" s="266"/>
      <c r="G154" s="266"/>
      <c r="H154" s="285">
        <v>25</v>
      </c>
      <c r="I154" s="286">
        <v>25</v>
      </c>
      <c r="J154" s="287">
        <v>4</v>
      </c>
      <c r="K154" s="287">
        <v>5</v>
      </c>
      <c r="L154" s="288">
        <v>24.641200000000001</v>
      </c>
      <c r="M154" s="289">
        <v>24.64</v>
      </c>
      <c r="N154" s="290">
        <v>329.40989999999999</v>
      </c>
      <c r="O154" s="291">
        <v>326.62479999999999</v>
      </c>
      <c r="P154" s="292">
        <v>330.73379999999997</v>
      </c>
      <c r="Q154" s="293">
        <v>304.76870000000002</v>
      </c>
      <c r="R154" s="294">
        <v>-9.0000000000000002E-6</v>
      </c>
      <c r="S154" s="295">
        <v>24.641200000000001</v>
      </c>
      <c r="T154" s="266"/>
      <c r="U154" s="316">
        <v>78</v>
      </c>
      <c r="V154" s="316">
        <v>28489</v>
      </c>
      <c r="W154" s="266"/>
      <c r="X154" s="327">
        <f t="shared" si="67"/>
        <v>81</v>
      </c>
      <c r="Y154" s="317">
        <v>0.50543888888888888</v>
      </c>
      <c r="Z154" s="317">
        <v>0.9000583333333334</v>
      </c>
      <c r="AA154" s="328"/>
      <c r="AB154" s="329">
        <f t="shared" ref="AB154" si="82">AB153+1</f>
        <v>81</v>
      </c>
      <c r="AC154" s="321">
        <v>-0.11702777777777779</v>
      </c>
      <c r="AD154" s="321">
        <v>-0.1120388888888889</v>
      </c>
      <c r="AE154" s="266"/>
      <c r="AF154" s="266"/>
      <c r="AG154" s="266"/>
      <c r="AH154" s="266"/>
      <c r="AI154" s="266"/>
      <c r="AJ154" s="266"/>
    </row>
    <row r="155" spans="1:36">
      <c r="A155" s="266"/>
      <c r="B155" s="356">
        <v>8</v>
      </c>
      <c r="C155" s="357" t="s">
        <v>106</v>
      </c>
      <c r="D155" s="266"/>
      <c r="E155" s="266"/>
      <c r="F155" s="266"/>
      <c r="G155" s="266"/>
      <c r="H155" s="285">
        <v>26</v>
      </c>
      <c r="I155" s="286">
        <v>26</v>
      </c>
      <c r="J155" s="287">
        <v>5</v>
      </c>
      <c r="K155" s="287">
        <v>1</v>
      </c>
      <c r="L155" s="288">
        <v>25.626799999999999</v>
      </c>
      <c r="M155" s="289">
        <v>25.625599999999999</v>
      </c>
      <c r="N155" s="290">
        <v>342.58629999999999</v>
      </c>
      <c r="O155" s="291">
        <v>339.68979999999999</v>
      </c>
      <c r="P155" s="292">
        <v>343.9631</v>
      </c>
      <c r="Q155" s="293">
        <v>316.95949999999999</v>
      </c>
      <c r="R155" s="294">
        <v>-9.0000000000000002E-6</v>
      </c>
      <c r="S155" s="295">
        <v>25.626799999999999</v>
      </c>
      <c r="T155" s="266"/>
      <c r="U155" s="316">
        <v>79</v>
      </c>
      <c r="V155" s="316">
        <v>28854</v>
      </c>
      <c r="W155" s="266"/>
      <c r="X155" s="327">
        <f t="shared" si="67"/>
        <v>82</v>
      </c>
      <c r="Y155" s="317">
        <v>0.9000583333333334</v>
      </c>
      <c r="Z155" s="317">
        <v>1.2942277777777778</v>
      </c>
      <c r="AA155" s="328"/>
      <c r="AB155" s="329">
        <f t="shared" ref="AB155" si="83">AB154+1</f>
        <v>82</v>
      </c>
      <c r="AC155" s="321">
        <v>-0.1120388888888889</v>
      </c>
      <c r="AD155" s="321">
        <v>-0.10703055555555556</v>
      </c>
      <c r="AE155" s="266"/>
      <c r="AF155" s="266"/>
      <c r="AG155" s="266"/>
      <c r="AH155" s="266"/>
      <c r="AI155" s="266"/>
      <c r="AJ155" s="266"/>
    </row>
    <row r="156" spans="1:36">
      <c r="A156" s="266"/>
      <c r="B156" s="356">
        <v>9</v>
      </c>
      <c r="C156" s="357" t="s">
        <v>107</v>
      </c>
      <c r="D156" s="266"/>
      <c r="E156" s="266"/>
      <c r="F156" s="266"/>
      <c r="G156" s="266"/>
      <c r="H156" s="285">
        <v>27</v>
      </c>
      <c r="I156" s="286">
        <v>27</v>
      </c>
      <c r="J156" s="287">
        <v>6</v>
      </c>
      <c r="K156" s="287">
        <v>2</v>
      </c>
      <c r="L156" s="288">
        <v>26.612500000000001</v>
      </c>
      <c r="M156" s="289">
        <v>26.6112</v>
      </c>
      <c r="N156" s="290">
        <v>355.7627</v>
      </c>
      <c r="O156" s="291">
        <v>352.75479999999999</v>
      </c>
      <c r="P156" s="292">
        <v>357.1925</v>
      </c>
      <c r="Q156" s="293">
        <v>329.15019999999998</v>
      </c>
      <c r="R156" s="294">
        <v>-1.0000000000000001E-5</v>
      </c>
      <c r="S156" s="295">
        <v>26.612500000000001</v>
      </c>
      <c r="T156" s="266"/>
      <c r="U156" s="316">
        <v>80</v>
      </c>
      <c r="V156" s="316">
        <v>29220</v>
      </c>
      <c r="W156" s="266"/>
      <c r="X156" s="327">
        <f t="shared" si="67"/>
        <v>83</v>
      </c>
      <c r="Y156" s="317">
        <v>1.2942277777777778</v>
      </c>
      <c r="Z156" s="317">
        <v>1.6878444444444445</v>
      </c>
      <c r="AA156" s="328"/>
      <c r="AB156" s="329">
        <f t="shared" ref="AB156" si="84">AB155+1</f>
        <v>83</v>
      </c>
      <c r="AC156" s="321">
        <v>-0.10703055555555556</v>
      </c>
      <c r="AD156" s="321">
        <v>-0.10200277777777779</v>
      </c>
      <c r="AE156" s="266"/>
      <c r="AF156" s="266"/>
      <c r="AG156" s="266"/>
      <c r="AH156" s="266"/>
      <c r="AI156" s="266"/>
      <c r="AJ156" s="266"/>
    </row>
    <row r="157" spans="1:36">
      <c r="A157" s="266"/>
      <c r="B157" s="356">
        <v>10</v>
      </c>
      <c r="C157" s="357" t="s">
        <v>13</v>
      </c>
      <c r="D157" s="266"/>
      <c r="E157" s="266"/>
      <c r="F157" s="266"/>
      <c r="G157" s="266"/>
      <c r="H157" s="285">
        <v>28</v>
      </c>
      <c r="I157" s="286">
        <v>28</v>
      </c>
      <c r="J157" s="287">
        <v>7</v>
      </c>
      <c r="K157" s="287">
        <v>3</v>
      </c>
      <c r="L157" s="288">
        <v>27.598099999999999</v>
      </c>
      <c r="M157" s="289">
        <v>27.596800000000002</v>
      </c>
      <c r="N157" s="290">
        <v>8.9390999999999998</v>
      </c>
      <c r="O157" s="291">
        <v>5.8197999999999999</v>
      </c>
      <c r="P157" s="292">
        <v>10.421799999999999</v>
      </c>
      <c r="Q157" s="293">
        <v>341.34100000000001</v>
      </c>
      <c r="R157" s="294">
        <v>-1.0000000000000001E-5</v>
      </c>
      <c r="S157" s="295">
        <v>27.598099999999999</v>
      </c>
      <c r="T157" s="266"/>
      <c r="U157" s="316">
        <v>81</v>
      </c>
      <c r="V157" s="316">
        <v>29585</v>
      </c>
      <c r="W157" s="266"/>
      <c r="X157" s="327">
        <f t="shared" si="67"/>
        <v>84</v>
      </c>
      <c r="Y157" s="317">
        <v>1.6878444444444445</v>
      </c>
      <c r="Z157" s="317">
        <v>2.0808111111111112</v>
      </c>
      <c r="AA157" s="328"/>
      <c r="AB157" s="329">
        <f t="shared" ref="AB157" si="85">AB156+1</f>
        <v>84</v>
      </c>
      <c r="AC157" s="321">
        <v>-0.10200277777777779</v>
      </c>
      <c r="AD157" s="321">
        <v>-9.6969444444444441E-2</v>
      </c>
      <c r="AE157" s="266"/>
      <c r="AF157" s="266"/>
      <c r="AG157" s="266"/>
      <c r="AH157" s="266"/>
      <c r="AI157" s="266"/>
      <c r="AJ157" s="266"/>
    </row>
    <row r="158" spans="1:36">
      <c r="A158" s="266"/>
      <c r="B158" s="356">
        <v>11</v>
      </c>
      <c r="C158" s="357" t="s">
        <v>108</v>
      </c>
      <c r="D158" s="266"/>
      <c r="E158" s="266"/>
      <c r="F158" s="266"/>
      <c r="G158" s="266"/>
      <c r="H158" s="285">
        <v>29</v>
      </c>
      <c r="I158" s="286">
        <v>29</v>
      </c>
      <c r="J158" s="287">
        <v>1</v>
      </c>
      <c r="K158" s="287">
        <v>4</v>
      </c>
      <c r="L158" s="288">
        <v>28.5838</v>
      </c>
      <c r="M158" s="289">
        <v>28.5824</v>
      </c>
      <c r="N158" s="290">
        <v>22.115500000000001</v>
      </c>
      <c r="O158" s="291">
        <v>18.884799999999998</v>
      </c>
      <c r="P158" s="292">
        <v>23.651199999999999</v>
      </c>
      <c r="Q158" s="293">
        <v>353.5317</v>
      </c>
      <c r="R158" s="294">
        <v>-1.0000000000000001E-5</v>
      </c>
      <c r="S158" s="295">
        <v>28.5838</v>
      </c>
      <c r="T158" s="266"/>
      <c r="U158" s="316">
        <v>82</v>
      </c>
      <c r="V158" s="316">
        <v>29950</v>
      </c>
      <c r="W158" s="266"/>
      <c r="X158" s="327">
        <f t="shared" si="67"/>
        <v>85</v>
      </c>
      <c r="Y158" s="317">
        <v>2.0808111111111112</v>
      </c>
      <c r="Z158" s="317">
        <v>2.4730305555555558</v>
      </c>
      <c r="AA158" s="328"/>
      <c r="AB158" s="329">
        <f t="shared" ref="AB158" si="86">AB157+1</f>
        <v>85</v>
      </c>
      <c r="AC158" s="321">
        <v>-9.6969444444444441E-2</v>
      </c>
      <c r="AD158" s="321">
        <v>-9.1927777777777775E-2</v>
      </c>
      <c r="AE158" s="266"/>
      <c r="AF158" s="266"/>
      <c r="AG158" s="266"/>
      <c r="AH158" s="266"/>
      <c r="AI158" s="266"/>
      <c r="AJ158" s="266"/>
    </row>
    <row r="159" spans="1:36">
      <c r="A159" s="266"/>
      <c r="B159" s="358">
        <v>12</v>
      </c>
      <c r="C159" s="359" t="s">
        <v>109</v>
      </c>
      <c r="D159" s="266"/>
      <c r="E159" s="266"/>
      <c r="F159" s="266"/>
      <c r="G159" s="266"/>
      <c r="H159" s="285">
        <v>30</v>
      </c>
      <c r="I159" s="286">
        <v>30</v>
      </c>
      <c r="J159" s="287">
        <v>2</v>
      </c>
      <c r="K159" s="287">
        <v>5</v>
      </c>
      <c r="L159" s="288">
        <v>29.569400000000002</v>
      </c>
      <c r="M159" s="289">
        <v>29.568000000000001</v>
      </c>
      <c r="N159" s="290">
        <v>35.291899999999998</v>
      </c>
      <c r="O159" s="291">
        <v>31.9498</v>
      </c>
      <c r="P159" s="292">
        <v>36.880499999999998</v>
      </c>
      <c r="Q159" s="293">
        <v>5.7225000000000001</v>
      </c>
      <c r="R159" s="294">
        <v>-1.1E-5</v>
      </c>
      <c r="S159" s="295">
        <v>29.569400000000002</v>
      </c>
      <c r="T159" s="266"/>
      <c r="U159" s="316">
        <v>83</v>
      </c>
      <c r="V159" s="316">
        <v>30315</v>
      </c>
      <c r="W159" s="266"/>
      <c r="X159" s="327">
        <f t="shared" si="67"/>
        <v>86</v>
      </c>
      <c r="Y159" s="317">
        <v>2.4730305555555558</v>
      </c>
      <c r="Z159" s="317">
        <v>2.8644000000000003</v>
      </c>
      <c r="AA159" s="328"/>
      <c r="AB159" s="329">
        <f t="shared" ref="AB159" si="87">AB158+1</f>
        <v>86</v>
      </c>
      <c r="AC159" s="321">
        <v>-9.1927777777777775E-2</v>
      </c>
      <c r="AD159" s="321">
        <v>-8.6888888888888891E-2</v>
      </c>
      <c r="AE159" s="266"/>
      <c r="AF159" s="266"/>
      <c r="AG159" s="266"/>
      <c r="AH159" s="266"/>
      <c r="AI159" s="266"/>
      <c r="AJ159" s="266"/>
    </row>
    <row r="160" spans="1:36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316">
        <v>84</v>
      </c>
      <c r="V160" s="316">
        <v>30681</v>
      </c>
      <c r="W160" s="266"/>
      <c r="X160" s="327">
        <f t="shared" si="67"/>
        <v>87</v>
      </c>
      <c r="Y160" s="317">
        <v>2.8644000000000003</v>
      </c>
      <c r="Z160" s="317">
        <v>3.2548249999999999</v>
      </c>
      <c r="AA160" s="328"/>
      <c r="AB160" s="329">
        <f t="shared" ref="AB160" si="88">AB159+1</f>
        <v>87</v>
      </c>
      <c r="AC160" s="321">
        <v>-8.6888888888888891E-2</v>
      </c>
      <c r="AD160" s="321">
        <v>-8.1855555555555556E-2</v>
      </c>
      <c r="AE160" s="266"/>
      <c r="AF160" s="266"/>
      <c r="AG160" s="266"/>
      <c r="AH160" s="266"/>
      <c r="AI160" s="266"/>
      <c r="AJ160" s="266"/>
    </row>
    <row r="161" spans="1:36" ht="17.399999999999999">
      <c r="A161" s="266"/>
      <c r="B161" s="266"/>
      <c r="C161" s="266"/>
      <c r="D161" s="266"/>
      <c r="E161" s="266"/>
      <c r="F161" s="266"/>
      <c r="G161" s="266"/>
      <c r="H161" s="360"/>
      <c r="I161" s="360"/>
      <c r="J161" s="360"/>
      <c r="K161" s="361"/>
      <c r="L161" s="764" t="s">
        <v>110</v>
      </c>
      <c r="M161" s="765"/>
      <c r="N161" s="765"/>
      <c r="O161" s="765"/>
      <c r="P161" s="765"/>
      <c r="Q161" s="765"/>
      <c r="R161" s="765"/>
      <c r="S161" s="766"/>
      <c r="T161" s="343"/>
      <c r="U161" s="316">
        <v>85</v>
      </c>
      <c r="V161" s="316">
        <v>31046</v>
      </c>
      <c r="W161" s="266"/>
      <c r="X161" s="327">
        <f t="shared" si="67"/>
        <v>88</v>
      </c>
      <c r="Y161" s="317">
        <v>3.2548249999999999</v>
      </c>
      <c r="Z161" s="317">
        <v>3.6442083333333333</v>
      </c>
      <c r="AA161" s="328"/>
      <c r="AB161" s="329">
        <f t="shared" ref="AB161" si="89">AB160+1</f>
        <v>88</v>
      </c>
      <c r="AC161" s="321">
        <v>-8.1855555555555556E-2</v>
      </c>
      <c r="AD161" s="321">
        <v>-7.6836111111111105E-2</v>
      </c>
      <c r="AE161" s="266"/>
      <c r="AF161" s="266"/>
      <c r="AG161" s="266"/>
      <c r="AH161" s="266"/>
      <c r="AI161" s="266"/>
      <c r="AJ161" s="266"/>
    </row>
    <row r="162" spans="1:36">
      <c r="A162" s="266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362" t="s">
        <v>111</v>
      </c>
      <c r="M162" s="271" t="s">
        <v>24</v>
      </c>
      <c r="N162" s="271" t="s">
        <v>25</v>
      </c>
      <c r="O162" s="271" t="s">
        <v>26</v>
      </c>
      <c r="P162" s="271" t="s">
        <v>27</v>
      </c>
      <c r="Q162" s="271" t="s">
        <v>18</v>
      </c>
      <c r="R162" s="271" t="s">
        <v>28</v>
      </c>
      <c r="S162" s="271" t="s">
        <v>30</v>
      </c>
      <c r="T162" s="266"/>
      <c r="U162" s="316">
        <v>86</v>
      </c>
      <c r="V162" s="316">
        <v>31411</v>
      </c>
      <c r="W162" s="266"/>
      <c r="X162" s="327">
        <f t="shared" si="67"/>
        <v>89</v>
      </c>
      <c r="Y162" s="317">
        <v>3.6442083333333333</v>
      </c>
      <c r="Z162" s="317">
        <v>4.0324472222222223</v>
      </c>
      <c r="AA162" s="328"/>
      <c r="AB162" s="329">
        <f t="shared" ref="AB162" si="90">AB161+1</f>
        <v>89</v>
      </c>
      <c r="AC162" s="321">
        <v>-7.6836111111111105E-2</v>
      </c>
      <c r="AD162" s="321">
        <v>-7.1833333333333332E-2</v>
      </c>
      <c r="AE162" s="266"/>
      <c r="AF162" s="266"/>
      <c r="AG162" s="266"/>
      <c r="AH162" s="266"/>
      <c r="AI162" s="266"/>
      <c r="AJ162" s="266"/>
    </row>
    <row r="163" spans="1:36">
      <c r="A163" s="266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363"/>
      <c r="M163" s="277" t="s">
        <v>39</v>
      </c>
      <c r="N163" s="277" t="s">
        <v>40</v>
      </c>
      <c r="O163" s="277" t="s">
        <v>36</v>
      </c>
      <c r="P163" s="277" t="s">
        <v>33</v>
      </c>
      <c r="Q163" s="277" t="s">
        <v>41</v>
      </c>
      <c r="R163" s="277" t="s">
        <v>42</v>
      </c>
      <c r="S163" s="277" t="s">
        <v>44</v>
      </c>
      <c r="T163" s="266"/>
      <c r="U163" s="316">
        <v>87</v>
      </c>
      <c r="V163" s="316">
        <v>31776</v>
      </c>
      <c r="W163" s="266"/>
      <c r="X163" s="327">
        <f t="shared" si="67"/>
        <v>90</v>
      </c>
      <c r="Y163" s="317">
        <v>4.0324472222222223</v>
      </c>
      <c r="Z163" s="317">
        <v>4.4194500000000003</v>
      </c>
      <c r="AA163" s="328"/>
      <c r="AB163" s="329">
        <f t="shared" ref="AB163" si="91">AB162+1</f>
        <v>90</v>
      </c>
      <c r="AC163" s="321">
        <v>-7.1833333333333332E-2</v>
      </c>
      <c r="AD163" s="321">
        <v>-6.6852777777777775E-2</v>
      </c>
      <c r="AE163" s="266"/>
      <c r="AF163" s="266"/>
      <c r="AG163" s="266"/>
      <c r="AH163" s="266"/>
      <c r="AI163" s="266"/>
      <c r="AJ163" s="266"/>
    </row>
    <row r="164" spans="1:36">
      <c r="A164" s="266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364">
        <v>1</v>
      </c>
      <c r="M164" s="288">
        <v>2</v>
      </c>
      <c r="N164" s="289">
        <v>3</v>
      </c>
      <c r="O164" s="290">
        <v>4</v>
      </c>
      <c r="P164" s="291">
        <v>5</v>
      </c>
      <c r="Q164" s="292">
        <v>6</v>
      </c>
      <c r="R164" s="293">
        <v>7</v>
      </c>
      <c r="S164" s="295">
        <v>8</v>
      </c>
      <c r="T164" s="266"/>
      <c r="U164" s="316">
        <v>88</v>
      </c>
      <c r="V164" s="316">
        <v>32142</v>
      </c>
      <c r="W164" s="266"/>
      <c r="X164" s="327">
        <f t="shared" si="67"/>
        <v>91</v>
      </c>
      <c r="Y164" s="317">
        <v>4.4194500000000003</v>
      </c>
      <c r="Z164" s="317">
        <v>4.8051138888888891</v>
      </c>
      <c r="AA164" s="328"/>
      <c r="AB164" s="329">
        <f t="shared" ref="AB164" si="92">AB163+1</f>
        <v>91</v>
      </c>
      <c r="AC164" s="321">
        <v>-6.6852777777777775E-2</v>
      </c>
      <c r="AD164" s="321">
        <v>-6.1902777777777779E-2</v>
      </c>
      <c r="AE164" s="266"/>
      <c r="AF164" s="266"/>
      <c r="AG164" s="266"/>
      <c r="AH164" s="266"/>
      <c r="AI164" s="266"/>
      <c r="AJ164" s="266"/>
    </row>
    <row r="165" spans="1:36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364">
        <v>0</v>
      </c>
      <c r="M165" s="288">
        <v>0</v>
      </c>
      <c r="N165" s="289">
        <v>0</v>
      </c>
      <c r="O165" s="290">
        <v>0</v>
      </c>
      <c r="P165" s="291">
        <v>0</v>
      </c>
      <c r="Q165" s="292">
        <v>0</v>
      </c>
      <c r="R165" s="293">
        <v>0</v>
      </c>
      <c r="S165" s="295">
        <v>0</v>
      </c>
      <c r="T165" s="266"/>
      <c r="U165" s="316">
        <v>89</v>
      </c>
      <c r="V165" s="316">
        <v>32507</v>
      </c>
      <c r="W165" s="266"/>
      <c r="X165" s="327">
        <f t="shared" si="67"/>
        <v>92</v>
      </c>
      <c r="Y165" s="317">
        <v>4.8051138888888891</v>
      </c>
      <c r="Z165" s="317">
        <v>5.1893500000000001</v>
      </c>
      <c r="AA165" s="328"/>
      <c r="AB165" s="329">
        <f t="shared" ref="AB165" si="93">AB164+1</f>
        <v>92</v>
      </c>
      <c r="AC165" s="321">
        <v>-6.1902777777777779E-2</v>
      </c>
      <c r="AD165" s="321">
        <v>-5.6983333333333337E-2</v>
      </c>
      <c r="AE165" s="266"/>
      <c r="AF165" s="266"/>
      <c r="AG165" s="266"/>
      <c r="AH165" s="266"/>
      <c r="AI165" s="266"/>
      <c r="AJ165" s="266"/>
    </row>
    <row r="166" spans="1:36">
      <c r="A166" s="266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364">
        <v>1</v>
      </c>
      <c r="M166" s="288">
        <v>4.1099999999999998E-2</v>
      </c>
      <c r="N166" s="289">
        <v>4.1099999999999998E-2</v>
      </c>
      <c r="O166" s="290">
        <v>0.54900000000000004</v>
      </c>
      <c r="P166" s="291">
        <v>0.5444</v>
      </c>
      <c r="Q166" s="292">
        <v>0.55120000000000002</v>
      </c>
      <c r="R166" s="293">
        <v>0.50790000000000002</v>
      </c>
      <c r="S166" s="295">
        <v>15.0411</v>
      </c>
      <c r="T166" s="266"/>
      <c r="U166" s="316">
        <v>90</v>
      </c>
      <c r="V166" s="316">
        <v>32872</v>
      </c>
      <c r="W166" s="266"/>
      <c r="X166" s="327">
        <f t="shared" si="67"/>
        <v>93</v>
      </c>
      <c r="Y166" s="317">
        <v>5.1893500000000001</v>
      </c>
      <c r="Z166" s="317">
        <v>5.5720527777777775</v>
      </c>
      <c r="AA166" s="328"/>
      <c r="AB166" s="329">
        <f t="shared" ref="AB166" si="94">AB165+1</f>
        <v>93</v>
      </c>
      <c r="AC166" s="321">
        <v>-5.6983333333333337E-2</v>
      </c>
      <c r="AD166" s="321">
        <v>-5.2105555555555558E-2</v>
      </c>
      <c r="AE166" s="266"/>
      <c r="AF166" s="266"/>
      <c r="AG166" s="266"/>
      <c r="AH166" s="266"/>
      <c r="AI166" s="266"/>
      <c r="AJ166" s="266"/>
    </row>
    <row r="167" spans="1:36">
      <c r="A167" s="266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364">
        <v>2</v>
      </c>
      <c r="M167" s="288">
        <v>8.2100000000000006E-2</v>
      </c>
      <c r="N167" s="289">
        <v>8.2100000000000006E-2</v>
      </c>
      <c r="O167" s="290">
        <v>1.0980000000000001</v>
      </c>
      <c r="P167" s="291">
        <v>1.0887</v>
      </c>
      <c r="Q167" s="292">
        <v>1.1024</v>
      </c>
      <c r="R167" s="293">
        <v>1.0159</v>
      </c>
      <c r="S167" s="295">
        <v>30.082100000000001</v>
      </c>
      <c r="T167" s="266"/>
      <c r="U167" s="316">
        <v>91</v>
      </c>
      <c r="V167" s="316">
        <v>33237</v>
      </c>
      <c r="W167" s="266"/>
      <c r="X167" s="327">
        <f t="shared" si="67"/>
        <v>94</v>
      </c>
      <c r="Y167" s="317">
        <v>5.5720527777777775</v>
      </c>
      <c r="Z167" s="317">
        <v>5.9531333333333336</v>
      </c>
      <c r="AA167" s="328">
        <f t="shared" ref="AA167" si="95">AA166+1</f>
        <v>1</v>
      </c>
      <c r="AB167" s="329">
        <f t="shared" ref="AB167" si="96">AB166+1</f>
        <v>94</v>
      </c>
      <c r="AC167" s="321">
        <v>-5.2105555555555558E-2</v>
      </c>
      <c r="AD167" s="321">
        <v>-4.7269444444444447E-2</v>
      </c>
      <c r="AE167" s="266"/>
      <c r="AF167" s="266"/>
      <c r="AG167" s="266"/>
      <c r="AH167" s="266"/>
      <c r="AI167" s="266"/>
      <c r="AJ167" s="266"/>
    </row>
    <row r="168" spans="1:36">
      <c r="A168" s="266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364">
        <v>3</v>
      </c>
      <c r="M168" s="288">
        <v>0.1232</v>
      </c>
      <c r="N168" s="289">
        <v>0.1232</v>
      </c>
      <c r="O168" s="290">
        <v>1.647</v>
      </c>
      <c r="P168" s="291">
        <v>1.6331</v>
      </c>
      <c r="Q168" s="292">
        <v>1.6536999999999999</v>
      </c>
      <c r="R168" s="293">
        <v>1.5238</v>
      </c>
      <c r="S168" s="295">
        <v>45.123199999999997</v>
      </c>
      <c r="T168" s="266"/>
      <c r="U168" s="316">
        <v>92</v>
      </c>
      <c r="V168" s="316">
        <v>33603</v>
      </c>
      <c r="W168" s="266"/>
      <c r="X168" s="327">
        <f t="shared" si="67"/>
        <v>95</v>
      </c>
      <c r="Y168" s="317">
        <v>5.9531333333333336</v>
      </c>
      <c r="Z168" s="317">
        <v>6.3324916666666669</v>
      </c>
      <c r="AA168" s="328"/>
      <c r="AB168" s="329">
        <f t="shared" ref="AB168" si="97">AB167+1</f>
        <v>95</v>
      </c>
      <c r="AC168" s="321">
        <v>-4.7269444444444447E-2</v>
      </c>
      <c r="AD168" s="321">
        <v>-4.2486111111111113E-2</v>
      </c>
      <c r="AE168" s="266"/>
      <c r="AF168" s="266"/>
      <c r="AG168" s="266"/>
      <c r="AH168" s="266"/>
      <c r="AI168" s="266"/>
      <c r="AJ168" s="266"/>
    </row>
    <row r="169" spans="1:36">
      <c r="A169" s="266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364">
        <v>4</v>
      </c>
      <c r="M169" s="288">
        <v>0.1643</v>
      </c>
      <c r="N169" s="289">
        <v>0.1643</v>
      </c>
      <c r="O169" s="290">
        <v>2.1960999999999999</v>
      </c>
      <c r="P169" s="291">
        <v>2.1775000000000002</v>
      </c>
      <c r="Q169" s="292">
        <v>2.2048999999999999</v>
      </c>
      <c r="R169" s="293">
        <v>2.0318000000000001</v>
      </c>
      <c r="S169" s="295">
        <v>60.164299999999997</v>
      </c>
      <c r="T169" s="266"/>
      <c r="U169" s="316">
        <v>93</v>
      </c>
      <c r="V169" s="316">
        <v>33968</v>
      </c>
      <c r="W169" s="266"/>
      <c r="X169" s="327">
        <f t="shared" si="67"/>
        <v>96</v>
      </c>
      <c r="Y169" s="317">
        <v>6.3324916666666669</v>
      </c>
      <c r="Z169" s="317">
        <v>6.7100333333333335</v>
      </c>
      <c r="AA169" s="328"/>
      <c r="AB169" s="329">
        <f t="shared" ref="AB169" si="98">AB168+1</f>
        <v>96</v>
      </c>
      <c r="AC169" s="321">
        <v>-4.2486111111111113E-2</v>
      </c>
      <c r="AD169" s="321">
        <v>-3.7755555555555556E-2</v>
      </c>
      <c r="AE169" s="266"/>
      <c r="AF169" s="266"/>
      <c r="AG169" s="266"/>
      <c r="AH169" s="266"/>
      <c r="AI169" s="266"/>
      <c r="AJ169" s="266"/>
    </row>
    <row r="170" spans="1:36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364">
        <v>5</v>
      </c>
      <c r="M170" s="288">
        <v>0.20530000000000001</v>
      </c>
      <c r="N170" s="289">
        <v>0.20530000000000001</v>
      </c>
      <c r="O170" s="290">
        <v>2.7450999999999999</v>
      </c>
      <c r="P170" s="291">
        <v>2.7219000000000002</v>
      </c>
      <c r="Q170" s="292">
        <v>2.7561</v>
      </c>
      <c r="R170" s="293">
        <v>2.5396999999999998</v>
      </c>
      <c r="S170" s="295">
        <v>75.205299999999994</v>
      </c>
      <c r="T170" s="266"/>
      <c r="U170" s="316">
        <v>94</v>
      </c>
      <c r="V170" s="316">
        <v>34333</v>
      </c>
      <c r="W170" s="266"/>
      <c r="X170" s="327">
        <f t="shared" si="67"/>
        <v>97</v>
      </c>
      <c r="Y170" s="317">
        <v>6.7100333333333335</v>
      </c>
      <c r="Z170" s="317">
        <v>7.0856611111111105</v>
      </c>
      <c r="AA170" s="328"/>
      <c r="AB170" s="329">
        <f t="shared" ref="AB170" si="99">AB169+1</f>
        <v>97</v>
      </c>
      <c r="AC170" s="321">
        <v>-3.7755555555555556E-2</v>
      </c>
      <c r="AD170" s="321">
        <v>-3.3083333333333333E-2</v>
      </c>
      <c r="AE170" s="266"/>
      <c r="AF170" s="266"/>
      <c r="AG170" s="266"/>
      <c r="AH170" s="266"/>
      <c r="AI170" s="266"/>
      <c r="AJ170" s="266"/>
    </row>
    <row r="171" spans="1:36">
      <c r="A171" s="266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364">
        <v>6</v>
      </c>
      <c r="M171" s="288">
        <v>0.24640000000000001</v>
      </c>
      <c r="N171" s="289">
        <v>0.24640000000000001</v>
      </c>
      <c r="O171" s="290">
        <v>3.2940999999999998</v>
      </c>
      <c r="P171" s="291">
        <v>3.2662</v>
      </c>
      <c r="Q171" s="292">
        <v>3.3073000000000001</v>
      </c>
      <c r="R171" s="293">
        <v>3.0476999999999999</v>
      </c>
      <c r="S171" s="295">
        <v>90.246399999999994</v>
      </c>
      <c r="T171" s="266"/>
      <c r="U171" s="316">
        <v>95</v>
      </c>
      <c r="V171" s="316">
        <v>34698</v>
      </c>
      <c r="W171" s="266"/>
      <c r="X171" s="327">
        <f t="shared" si="67"/>
        <v>98</v>
      </c>
      <c r="Y171" s="317">
        <v>7.0856611111111105</v>
      </c>
      <c r="Z171" s="317">
        <v>7.4592833333333335</v>
      </c>
      <c r="AA171" s="328"/>
      <c r="AB171" s="329">
        <f t="shared" ref="AB171" si="100">AB170+1</f>
        <v>98</v>
      </c>
      <c r="AC171" s="321">
        <v>-3.3083333333333333E-2</v>
      </c>
      <c r="AD171" s="321">
        <v>-2.8475E-2</v>
      </c>
      <c r="AE171" s="266"/>
      <c r="AF171" s="266"/>
      <c r="AG171" s="266"/>
      <c r="AH171" s="266"/>
      <c r="AI171" s="266"/>
      <c r="AJ171" s="266"/>
    </row>
    <row r="172" spans="1:36">
      <c r="A172" s="266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364">
        <v>7</v>
      </c>
      <c r="M172" s="288">
        <v>0.28749999999999998</v>
      </c>
      <c r="N172" s="289">
        <v>0.28749999999999998</v>
      </c>
      <c r="O172" s="290">
        <v>3.8431000000000002</v>
      </c>
      <c r="P172" s="291">
        <v>3.8106</v>
      </c>
      <c r="Q172" s="292">
        <v>3.8586</v>
      </c>
      <c r="R172" s="293">
        <v>3.5556000000000001</v>
      </c>
      <c r="S172" s="295">
        <v>105.28749999999999</v>
      </c>
      <c r="T172" s="266"/>
      <c r="U172" s="316">
        <v>96</v>
      </c>
      <c r="V172" s="316">
        <v>35064</v>
      </c>
      <c r="W172" s="266"/>
      <c r="X172" s="327">
        <f t="shared" si="67"/>
        <v>99</v>
      </c>
      <c r="Y172" s="317">
        <v>7.4592833333333335</v>
      </c>
      <c r="Z172" s="317">
        <v>7.8308027777777776</v>
      </c>
      <c r="AA172" s="328"/>
      <c r="AB172" s="329">
        <f t="shared" ref="AB172" si="101">AB171+1</f>
        <v>99</v>
      </c>
      <c r="AC172" s="321">
        <v>-2.8475E-2</v>
      </c>
      <c r="AD172" s="321">
        <v>-2.3936111111111109E-2</v>
      </c>
      <c r="AE172" s="266"/>
      <c r="AF172" s="266"/>
      <c r="AG172" s="266"/>
      <c r="AH172" s="266"/>
      <c r="AI172" s="266"/>
      <c r="AJ172" s="266"/>
    </row>
    <row r="173" spans="1:36">
      <c r="A173" s="266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364">
        <v>8</v>
      </c>
      <c r="M173" s="288">
        <v>0.32850000000000001</v>
      </c>
      <c r="N173" s="289">
        <v>0.32850000000000001</v>
      </c>
      <c r="O173" s="290">
        <v>4.3921000000000001</v>
      </c>
      <c r="P173" s="291">
        <v>4.3550000000000004</v>
      </c>
      <c r="Q173" s="292">
        <v>4.4097999999999997</v>
      </c>
      <c r="R173" s="293">
        <v>4.0636000000000001</v>
      </c>
      <c r="S173" s="295">
        <v>120.32850000000001</v>
      </c>
      <c r="T173" s="266"/>
      <c r="U173" s="316">
        <v>97</v>
      </c>
      <c r="V173" s="316">
        <v>35429</v>
      </c>
      <c r="W173" s="266"/>
      <c r="X173" s="327">
        <f t="shared" si="67"/>
        <v>100</v>
      </c>
      <c r="Y173" s="317">
        <v>7.8308027777777776</v>
      </c>
      <c r="Z173" s="317">
        <v>8.2001277777777766</v>
      </c>
      <c r="AA173" s="328"/>
      <c r="AB173" s="329">
        <f t="shared" ref="AB173" si="102">AB172+1</f>
        <v>100</v>
      </c>
      <c r="AC173" s="321">
        <v>-2.3936111111111109E-2</v>
      </c>
      <c r="AD173" s="321">
        <v>-1.9472222222222221E-2</v>
      </c>
      <c r="AE173" s="266"/>
      <c r="AF173" s="266"/>
      <c r="AG173" s="266"/>
      <c r="AH173" s="266"/>
      <c r="AI173" s="266"/>
      <c r="AJ173" s="266"/>
    </row>
    <row r="174" spans="1:36">
      <c r="A174" s="266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364">
        <v>9</v>
      </c>
      <c r="M174" s="288">
        <v>0.36959999999999998</v>
      </c>
      <c r="N174" s="289">
        <v>0.36959999999999998</v>
      </c>
      <c r="O174" s="290">
        <v>4.9410999999999996</v>
      </c>
      <c r="P174" s="291">
        <v>4.8994</v>
      </c>
      <c r="Q174" s="292">
        <v>4.9610000000000003</v>
      </c>
      <c r="R174" s="293">
        <v>4.5715000000000003</v>
      </c>
      <c r="S174" s="295">
        <v>135.36959999999999</v>
      </c>
      <c r="T174" s="266"/>
      <c r="U174" s="316">
        <v>98</v>
      </c>
      <c r="V174" s="316">
        <v>35794</v>
      </c>
      <c r="W174" s="266"/>
      <c r="X174" s="327">
        <f t="shared" si="67"/>
        <v>101</v>
      </c>
      <c r="Y174" s="317">
        <v>8.2001277777777766</v>
      </c>
      <c r="Z174" s="317">
        <v>8.5671583333333334</v>
      </c>
      <c r="AA174" s="328"/>
      <c r="AB174" s="329">
        <f t="shared" ref="AB174" si="103">AB173+1</f>
        <v>101</v>
      </c>
      <c r="AC174" s="321">
        <v>-1.9472222222222221E-2</v>
      </c>
      <c r="AD174" s="321">
        <v>-1.5086111111111111E-2</v>
      </c>
      <c r="AE174" s="266"/>
      <c r="AF174" s="266"/>
      <c r="AG174" s="266"/>
      <c r="AH174" s="266"/>
      <c r="AI174" s="266"/>
      <c r="AJ174" s="266"/>
    </row>
    <row r="175" spans="1:36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364">
        <v>10</v>
      </c>
      <c r="M175" s="288">
        <v>0.41070000000000001</v>
      </c>
      <c r="N175" s="289">
        <v>0.41070000000000001</v>
      </c>
      <c r="O175" s="290">
        <v>5.4901999999999997</v>
      </c>
      <c r="P175" s="291">
        <v>5.4436999999999998</v>
      </c>
      <c r="Q175" s="292">
        <v>5.5122</v>
      </c>
      <c r="R175" s="293">
        <v>5.0795000000000003</v>
      </c>
      <c r="S175" s="295">
        <v>150.41069999999999</v>
      </c>
      <c r="T175" s="266"/>
      <c r="U175" s="318">
        <v>99</v>
      </c>
      <c r="V175" s="318">
        <v>36159</v>
      </c>
      <c r="W175" s="266"/>
      <c r="X175" s="327">
        <f t="shared" si="67"/>
        <v>102</v>
      </c>
      <c r="Y175" s="317">
        <v>8.5671583333333334</v>
      </c>
      <c r="Z175" s="317">
        <v>8.9318027777777775</v>
      </c>
      <c r="AA175" s="328"/>
      <c r="AB175" s="329">
        <f t="shared" ref="AB175" si="104">AB174+1</f>
        <v>102</v>
      </c>
      <c r="AC175" s="321">
        <v>-1.5086111111111111E-2</v>
      </c>
      <c r="AD175" s="321">
        <v>-1.0786111111111111E-2</v>
      </c>
      <c r="AE175" s="266"/>
      <c r="AF175" s="266"/>
      <c r="AG175" s="266"/>
      <c r="AH175" s="266"/>
      <c r="AI175" s="266"/>
      <c r="AJ175" s="266"/>
    </row>
    <row r="176" spans="1:36">
      <c r="A176" s="266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364">
        <v>11</v>
      </c>
      <c r="M176" s="288">
        <v>0.45179999999999998</v>
      </c>
      <c r="N176" s="289">
        <v>0.45169999999999999</v>
      </c>
      <c r="O176" s="290">
        <v>6.0392000000000001</v>
      </c>
      <c r="P176" s="291">
        <v>5.9881000000000002</v>
      </c>
      <c r="Q176" s="292">
        <v>6.0635000000000003</v>
      </c>
      <c r="R176" s="293">
        <v>5.5873999999999997</v>
      </c>
      <c r="S176" s="295">
        <v>165.45179999999999</v>
      </c>
      <c r="T176" s="266"/>
      <c r="U176" s="266"/>
      <c r="V176" s="266"/>
      <c r="W176" s="266"/>
      <c r="X176" s="327">
        <f t="shared" si="67"/>
        <v>103</v>
      </c>
      <c r="Y176" s="317">
        <v>8.9318027777777775</v>
      </c>
      <c r="Z176" s="317">
        <v>9.293966666666666</v>
      </c>
      <c r="AA176" s="328"/>
      <c r="AB176" s="329">
        <f t="shared" ref="AB176" si="105">AB175+1</f>
        <v>103</v>
      </c>
      <c r="AC176" s="321">
        <v>-1.0786111111111111E-2</v>
      </c>
      <c r="AD176" s="321">
        <v>-6.5694444444444437E-3</v>
      </c>
      <c r="AE176" s="266"/>
      <c r="AF176" s="266"/>
      <c r="AG176" s="266"/>
      <c r="AH176" s="266"/>
      <c r="AI176" s="266"/>
      <c r="AJ176" s="266"/>
    </row>
    <row r="177" spans="1:36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364">
        <v>12</v>
      </c>
      <c r="M177" s="288">
        <v>0.49280000000000002</v>
      </c>
      <c r="N177" s="289">
        <v>0.49280000000000002</v>
      </c>
      <c r="O177" s="290">
        <v>6.5881999999999996</v>
      </c>
      <c r="P177" s="291">
        <v>6.5324999999999998</v>
      </c>
      <c r="Q177" s="292">
        <v>6.6147</v>
      </c>
      <c r="R177" s="293">
        <v>6.0953999999999997</v>
      </c>
      <c r="S177" s="295">
        <v>180.49279999999999</v>
      </c>
      <c r="T177" s="343"/>
      <c r="U177" s="266"/>
      <c r="V177" s="266"/>
      <c r="W177" s="266"/>
      <c r="X177" s="327">
        <f t="shared" si="67"/>
        <v>104</v>
      </c>
      <c r="Y177" s="317">
        <v>9.293966666666666</v>
      </c>
      <c r="Z177" s="317">
        <v>9.6535583333333346</v>
      </c>
      <c r="AA177" s="328"/>
      <c r="AB177" s="329">
        <f t="shared" ref="AB177" si="106">AB176+1</f>
        <v>104</v>
      </c>
      <c r="AC177" s="321">
        <v>-6.5694444444444437E-3</v>
      </c>
      <c r="AD177" s="321">
        <v>-2.4472222222222222E-3</v>
      </c>
      <c r="AE177" s="266"/>
      <c r="AF177" s="266"/>
      <c r="AG177" s="266"/>
      <c r="AH177" s="266"/>
      <c r="AI177" s="266"/>
      <c r="AJ177" s="266"/>
    </row>
    <row r="178" spans="1:36">
      <c r="A178" s="266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364">
        <v>13</v>
      </c>
      <c r="M178" s="288">
        <v>0.53390000000000004</v>
      </c>
      <c r="N178" s="289">
        <v>0.53390000000000004</v>
      </c>
      <c r="O178" s="290">
        <v>7.1372</v>
      </c>
      <c r="P178" s="291">
        <v>7.0769000000000002</v>
      </c>
      <c r="Q178" s="292">
        <v>7.1658999999999997</v>
      </c>
      <c r="R178" s="293">
        <v>6.6032999999999999</v>
      </c>
      <c r="S178" s="295">
        <v>195.53389999999999</v>
      </c>
      <c r="T178" s="343"/>
      <c r="U178" s="266"/>
      <c r="V178" s="266"/>
      <c r="W178" s="266"/>
      <c r="X178" s="327">
        <f t="shared" si="67"/>
        <v>105</v>
      </c>
      <c r="Y178" s="317">
        <v>9.6535583333333346</v>
      </c>
      <c r="Z178" s="317">
        <v>10.010480555555555</v>
      </c>
      <c r="AA178" s="328"/>
      <c r="AB178" s="329">
        <f t="shared" ref="AB178" si="107">AB177+1</f>
        <v>105</v>
      </c>
      <c r="AC178" s="321">
        <v>-2.4472222222222222E-3</v>
      </c>
      <c r="AD178" s="321">
        <v>1.5777777777777778E-3</v>
      </c>
      <c r="AE178" s="266"/>
      <c r="AF178" s="266"/>
      <c r="AG178" s="266"/>
      <c r="AH178" s="266"/>
      <c r="AI178" s="266"/>
      <c r="AJ178" s="266"/>
    </row>
    <row r="179" spans="1:36">
      <c r="A179" s="266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364">
        <v>14</v>
      </c>
      <c r="M179" s="288">
        <v>0.57499999999999996</v>
      </c>
      <c r="N179" s="289">
        <v>0.57489999999999997</v>
      </c>
      <c r="O179" s="290">
        <v>7.6862000000000004</v>
      </c>
      <c r="P179" s="291">
        <v>7.6212</v>
      </c>
      <c r="Q179" s="292">
        <v>7.7171000000000003</v>
      </c>
      <c r="R179" s="293">
        <v>7.1113</v>
      </c>
      <c r="S179" s="295">
        <v>210.57499999999999</v>
      </c>
      <c r="T179" s="343"/>
      <c r="U179" s="266"/>
      <c r="V179" s="266"/>
      <c r="W179" s="266"/>
      <c r="X179" s="327">
        <f t="shared" si="67"/>
        <v>106</v>
      </c>
      <c r="Y179" s="317">
        <v>10.010480555555555</v>
      </c>
      <c r="Z179" s="317">
        <v>10.364644444444444</v>
      </c>
      <c r="AA179" s="328"/>
      <c r="AB179" s="329">
        <f t="shared" ref="AB179" si="108">AB178+1</f>
        <v>106</v>
      </c>
      <c r="AC179" s="321">
        <v>1.5777777777777778E-3</v>
      </c>
      <c r="AD179" s="321">
        <v>5.5027777777777774E-3</v>
      </c>
      <c r="AE179" s="266"/>
      <c r="AF179" s="266"/>
      <c r="AG179" s="266"/>
      <c r="AH179" s="266"/>
      <c r="AI179" s="266"/>
      <c r="AJ179" s="266"/>
    </row>
    <row r="180" spans="1:36">
      <c r="A180" s="266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364">
        <v>15</v>
      </c>
      <c r="M180" s="288">
        <v>0.61599999999999999</v>
      </c>
      <c r="N180" s="289">
        <v>0.61599999999999999</v>
      </c>
      <c r="O180" s="290">
        <v>8.2352000000000007</v>
      </c>
      <c r="P180" s="291">
        <v>8.1655999999999995</v>
      </c>
      <c r="Q180" s="292">
        <v>8.2683</v>
      </c>
      <c r="R180" s="293">
        <v>7.6192000000000002</v>
      </c>
      <c r="S180" s="295">
        <v>225.61600000000001</v>
      </c>
      <c r="T180" s="343"/>
      <c r="U180" s="266"/>
      <c r="V180" s="266"/>
      <c r="W180" s="266"/>
      <c r="X180" s="327">
        <f t="shared" si="67"/>
        <v>107</v>
      </c>
      <c r="Y180" s="317">
        <v>10.364644444444444</v>
      </c>
      <c r="Z180" s="317">
        <v>10.715952777777778</v>
      </c>
      <c r="AA180" s="328"/>
      <c r="AB180" s="329">
        <f t="shared" ref="AB180" si="109">AB179+1</f>
        <v>107</v>
      </c>
      <c r="AC180" s="321">
        <v>5.5027777777777774E-3</v>
      </c>
      <c r="AD180" s="321">
        <v>9.3222222222222231E-3</v>
      </c>
      <c r="AE180" s="266"/>
      <c r="AF180" s="266"/>
      <c r="AG180" s="266"/>
      <c r="AH180" s="266"/>
      <c r="AI180" s="266"/>
      <c r="AJ180" s="266"/>
    </row>
    <row r="181" spans="1:36">
      <c r="A181" s="266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364">
        <v>16</v>
      </c>
      <c r="M181" s="288">
        <v>0.65710000000000002</v>
      </c>
      <c r="N181" s="289">
        <v>0.65710000000000002</v>
      </c>
      <c r="O181" s="290">
        <v>8.7843</v>
      </c>
      <c r="P181" s="291">
        <v>8.7100000000000009</v>
      </c>
      <c r="Q181" s="292">
        <v>8.8195999999999994</v>
      </c>
      <c r="R181" s="293">
        <v>8.1272000000000002</v>
      </c>
      <c r="S181" s="295">
        <v>240.65710000000001</v>
      </c>
      <c r="T181" s="343"/>
      <c r="U181" s="266"/>
      <c r="V181" s="266"/>
      <c r="W181" s="266"/>
      <c r="X181" s="327">
        <f t="shared" si="67"/>
        <v>108</v>
      </c>
      <c r="Y181" s="317">
        <v>10.715952777777778</v>
      </c>
      <c r="Z181" s="317">
        <v>11.06431388888889</v>
      </c>
      <c r="AA181" s="328"/>
      <c r="AB181" s="329">
        <f t="shared" ref="AB181" si="110">AB180+1</f>
        <v>108</v>
      </c>
      <c r="AC181" s="321">
        <v>9.3222222222222231E-3</v>
      </c>
      <c r="AD181" s="321">
        <v>1.3033333333333334E-2</v>
      </c>
      <c r="AE181" s="266"/>
      <c r="AF181" s="266"/>
      <c r="AG181" s="266"/>
      <c r="AH181" s="266"/>
      <c r="AI181" s="266"/>
      <c r="AJ181" s="266"/>
    </row>
    <row r="182" spans="1:36">
      <c r="A182" s="266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364">
        <v>17</v>
      </c>
      <c r="M182" s="288">
        <v>0.69820000000000004</v>
      </c>
      <c r="N182" s="289">
        <v>0.69810000000000005</v>
      </c>
      <c r="O182" s="290">
        <v>9.3332999999999995</v>
      </c>
      <c r="P182" s="291">
        <v>9.2544000000000004</v>
      </c>
      <c r="Q182" s="292">
        <v>9.3707999999999991</v>
      </c>
      <c r="R182" s="293">
        <v>8.6350999999999996</v>
      </c>
      <c r="S182" s="295">
        <v>255.69820000000001</v>
      </c>
      <c r="T182" s="343"/>
      <c r="U182" s="266"/>
      <c r="V182" s="266"/>
      <c r="W182" s="266"/>
      <c r="X182" s="327">
        <f t="shared" si="67"/>
        <v>109</v>
      </c>
      <c r="Y182" s="317">
        <v>11.06431388888889</v>
      </c>
      <c r="Z182" s="317">
        <v>11.409636111111112</v>
      </c>
      <c r="AA182" s="328"/>
      <c r="AB182" s="329">
        <f t="shared" ref="AB182" si="111">AB181+1</f>
        <v>109</v>
      </c>
      <c r="AC182" s="321">
        <v>1.3033333333333334E-2</v>
      </c>
      <c r="AD182" s="321">
        <v>1.6633333333333333E-2</v>
      </c>
      <c r="AE182" s="266"/>
      <c r="AF182" s="266"/>
      <c r="AG182" s="266"/>
      <c r="AH182" s="266"/>
      <c r="AI182" s="266"/>
      <c r="AJ182" s="266"/>
    </row>
    <row r="183" spans="1:36">
      <c r="A183" s="266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364">
        <v>18</v>
      </c>
      <c r="M183" s="288">
        <v>0.73919999999999997</v>
      </c>
      <c r="N183" s="289">
        <v>0.73919999999999997</v>
      </c>
      <c r="O183" s="290">
        <v>9.8823000000000008</v>
      </c>
      <c r="P183" s="291">
        <v>9.7987000000000002</v>
      </c>
      <c r="Q183" s="292">
        <v>9.9220000000000006</v>
      </c>
      <c r="R183" s="293">
        <v>9.1431000000000004</v>
      </c>
      <c r="S183" s="295">
        <v>270.73919999999998</v>
      </c>
      <c r="T183" s="266"/>
      <c r="U183" s="266"/>
      <c r="V183" s="266"/>
      <c r="W183" s="266"/>
      <c r="X183" s="327">
        <f t="shared" si="67"/>
        <v>110</v>
      </c>
      <c r="Y183" s="317">
        <v>11.409636111111112</v>
      </c>
      <c r="Z183" s="317">
        <v>11.751827777777779</v>
      </c>
      <c r="AA183" s="328"/>
      <c r="AB183" s="329">
        <f t="shared" ref="AB183" si="112">AB182+1</f>
        <v>110</v>
      </c>
      <c r="AC183" s="321">
        <v>1.6633333333333333E-2</v>
      </c>
      <c r="AD183" s="321">
        <v>2.0113888888888889E-2</v>
      </c>
      <c r="AE183" s="266"/>
      <c r="AF183" s="266"/>
      <c r="AG183" s="266"/>
      <c r="AH183" s="266"/>
      <c r="AI183" s="266"/>
      <c r="AJ183" s="266"/>
    </row>
    <row r="184" spans="1:36">
      <c r="A184" s="266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364">
        <v>19</v>
      </c>
      <c r="M184" s="288">
        <v>0.78029999999999999</v>
      </c>
      <c r="N184" s="289">
        <v>0.78029999999999999</v>
      </c>
      <c r="O184" s="290">
        <v>10.4313</v>
      </c>
      <c r="P184" s="291">
        <v>10.3431</v>
      </c>
      <c r="Q184" s="292">
        <v>10.4732</v>
      </c>
      <c r="R184" s="293">
        <v>9.6509999999999998</v>
      </c>
      <c r="S184" s="295">
        <v>285.78030000000001</v>
      </c>
      <c r="T184" s="266"/>
      <c r="U184" s="266"/>
      <c r="V184" s="266"/>
      <c r="W184" s="266"/>
      <c r="X184" s="327">
        <f t="shared" si="67"/>
        <v>111</v>
      </c>
      <c r="Y184" s="317">
        <v>11.751827777777779</v>
      </c>
      <c r="Z184" s="317">
        <v>12.090794444444445</v>
      </c>
      <c r="AA184" s="328"/>
      <c r="AB184" s="329">
        <f t="shared" ref="AB184" si="113">AB183+1</f>
        <v>111</v>
      </c>
      <c r="AC184" s="321">
        <v>2.0113888888888889E-2</v>
      </c>
      <c r="AD184" s="321">
        <v>2.3477777777777778E-2</v>
      </c>
      <c r="AE184" s="266"/>
      <c r="AF184" s="266"/>
      <c r="AG184" s="266"/>
      <c r="AH184" s="266"/>
      <c r="AI184" s="266"/>
      <c r="AJ184" s="266"/>
    </row>
    <row r="185" spans="1:36">
      <c r="A185" s="266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364">
        <v>20</v>
      </c>
      <c r="M185" s="288">
        <v>0.82140000000000002</v>
      </c>
      <c r="N185" s="289">
        <v>0.82130000000000003</v>
      </c>
      <c r="O185" s="290">
        <v>10.9803</v>
      </c>
      <c r="P185" s="291">
        <v>10.887499999999999</v>
      </c>
      <c r="Q185" s="292">
        <v>11.0245</v>
      </c>
      <c r="R185" s="293">
        <v>10.159000000000001</v>
      </c>
      <c r="S185" s="295">
        <v>300.82139999999998</v>
      </c>
      <c r="T185" s="266"/>
      <c r="U185" s="266"/>
      <c r="V185" s="266"/>
      <c r="W185" s="266"/>
      <c r="X185" s="327">
        <f t="shared" si="67"/>
        <v>112</v>
      </c>
      <c r="Y185" s="317">
        <v>12.090794444444445</v>
      </c>
      <c r="Z185" s="317">
        <v>12.426444444444444</v>
      </c>
      <c r="AA185" s="328"/>
      <c r="AB185" s="329">
        <f t="shared" ref="AB185" si="114">AB184+1</f>
        <v>112</v>
      </c>
      <c r="AC185" s="321">
        <v>2.3477777777777778E-2</v>
      </c>
      <c r="AD185" s="321">
        <v>2.6716666666666666E-2</v>
      </c>
      <c r="AE185" s="266"/>
      <c r="AF185" s="266"/>
      <c r="AG185" s="266"/>
      <c r="AH185" s="266"/>
      <c r="AI185" s="266"/>
      <c r="AJ185" s="266"/>
    </row>
    <row r="186" spans="1:36">
      <c r="A186" s="266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364">
        <v>21</v>
      </c>
      <c r="M186" s="288">
        <v>0.86240000000000006</v>
      </c>
      <c r="N186" s="289">
        <v>0.86240000000000006</v>
      </c>
      <c r="O186" s="290">
        <v>11.529299999999999</v>
      </c>
      <c r="P186" s="291">
        <v>11.431900000000001</v>
      </c>
      <c r="Q186" s="292">
        <v>11.575699999999999</v>
      </c>
      <c r="R186" s="293">
        <v>10.6669</v>
      </c>
      <c r="S186" s="295">
        <v>315.86239999999998</v>
      </c>
      <c r="T186" s="266"/>
      <c r="U186" s="266"/>
      <c r="V186" s="266"/>
      <c r="W186" s="266"/>
      <c r="X186" s="327">
        <f t="shared" si="67"/>
        <v>113</v>
      </c>
      <c r="Y186" s="317">
        <v>12.426444444444444</v>
      </c>
      <c r="Z186" s="317">
        <v>12.758688888888889</v>
      </c>
      <c r="AA186" s="328"/>
      <c r="AB186" s="329">
        <f t="shared" ref="AB186" si="115">AB185+1</f>
        <v>113</v>
      </c>
      <c r="AC186" s="321">
        <v>2.6716666666666666E-2</v>
      </c>
      <c r="AD186" s="321">
        <v>2.9827777777777779E-2</v>
      </c>
      <c r="AE186" s="266"/>
      <c r="AF186" s="266"/>
      <c r="AG186" s="266"/>
      <c r="AH186" s="266"/>
      <c r="AI186" s="266"/>
      <c r="AJ186" s="266"/>
    </row>
    <row r="187" spans="1:36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364">
        <v>22</v>
      </c>
      <c r="M187" s="288">
        <v>0.90349999999999997</v>
      </c>
      <c r="N187" s="289">
        <v>0.90349999999999997</v>
      </c>
      <c r="O187" s="290">
        <v>12.0784</v>
      </c>
      <c r="P187" s="291">
        <v>11.9762</v>
      </c>
      <c r="Q187" s="292">
        <v>12.126899999999999</v>
      </c>
      <c r="R187" s="293">
        <v>11.174899999999999</v>
      </c>
      <c r="S187" s="295">
        <v>330.90350000000001</v>
      </c>
      <c r="T187" s="266"/>
      <c r="U187" s="266"/>
      <c r="V187" s="266"/>
      <c r="W187" s="266"/>
      <c r="X187" s="327">
        <f t="shared" si="67"/>
        <v>114</v>
      </c>
      <c r="Y187" s="317">
        <v>12.758688888888889</v>
      </c>
      <c r="Z187" s="317">
        <v>13.087433333333333</v>
      </c>
      <c r="AA187" s="328"/>
      <c r="AB187" s="329">
        <f t="shared" ref="AB187" si="116">AB186+1</f>
        <v>114</v>
      </c>
      <c r="AC187" s="321">
        <v>2.9827777777777779E-2</v>
      </c>
      <c r="AD187" s="321">
        <v>3.2808333333333328E-2</v>
      </c>
      <c r="AE187" s="266"/>
      <c r="AF187" s="266"/>
      <c r="AG187" s="266"/>
      <c r="AH187" s="266"/>
      <c r="AI187" s="266"/>
      <c r="AJ187" s="266"/>
    </row>
    <row r="188" spans="1:36">
      <c r="A188" s="266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364">
        <v>23</v>
      </c>
      <c r="M188" s="288">
        <v>0.9446</v>
      </c>
      <c r="N188" s="289">
        <v>0.94450000000000001</v>
      </c>
      <c r="O188" s="290">
        <v>12.6274</v>
      </c>
      <c r="P188" s="291">
        <v>12.5206</v>
      </c>
      <c r="Q188" s="292">
        <v>12.678100000000001</v>
      </c>
      <c r="R188" s="293">
        <v>11.6828</v>
      </c>
      <c r="S188" s="295">
        <v>345.94459999999998</v>
      </c>
      <c r="T188" s="266"/>
      <c r="U188" s="266"/>
      <c r="V188" s="266"/>
      <c r="W188" s="266"/>
      <c r="X188" s="327">
        <f t="shared" si="67"/>
        <v>115</v>
      </c>
      <c r="Y188" s="317">
        <v>13.087433333333333</v>
      </c>
      <c r="Z188" s="317">
        <v>13.412588888888889</v>
      </c>
      <c r="AA188" s="328"/>
      <c r="AB188" s="329">
        <f t="shared" ref="AB188" si="117">AB187+1</f>
        <v>115</v>
      </c>
      <c r="AC188" s="321">
        <v>3.2808333333333328E-2</v>
      </c>
      <c r="AD188" s="321">
        <v>3.5655555555555551E-2</v>
      </c>
      <c r="AE188" s="266"/>
      <c r="AF188" s="266"/>
      <c r="AG188" s="266"/>
      <c r="AH188" s="266"/>
      <c r="AI188" s="266"/>
      <c r="AJ188" s="266"/>
    </row>
    <row r="189" spans="1:36">
      <c r="A189" s="266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364">
        <v>24</v>
      </c>
      <c r="M189" s="288">
        <v>0.98560000000000003</v>
      </c>
      <c r="N189" s="289">
        <v>0.98560000000000003</v>
      </c>
      <c r="O189" s="290">
        <v>13.176399999999999</v>
      </c>
      <c r="P189" s="291">
        <v>13.065</v>
      </c>
      <c r="Q189" s="292">
        <v>13.2294</v>
      </c>
      <c r="R189" s="293">
        <v>12.1907</v>
      </c>
      <c r="S189" s="295">
        <v>0.98560000000000003</v>
      </c>
      <c r="T189" s="266"/>
      <c r="U189" s="266"/>
      <c r="V189" s="266"/>
      <c r="W189" s="266"/>
      <c r="X189" s="327">
        <f t="shared" si="67"/>
        <v>116</v>
      </c>
      <c r="Y189" s="317">
        <v>13.412588888888889</v>
      </c>
      <c r="Z189" s="317">
        <v>13.734066666666665</v>
      </c>
      <c r="AA189" s="328"/>
      <c r="AB189" s="329">
        <f t="shared" ref="AB189" si="118">AB188+1</f>
        <v>116</v>
      </c>
      <c r="AC189" s="321">
        <v>3.5655555555555551E-2</v>
      </c>
      <c r="AD189" s="321">
        <v>3.8369444444444442E-2</v>
      </c>
      <c r="AE189" s="266"/>
      <c r="AF189" s="266"/>
      <c r="AG189" s="266"/>
      <c r="AH189" s="266"/>
      <c r="AI189" s="266"/>
      <c r="AJ189" s="266"/>
    </row>
    <row r="190" spans="1:36">
      <c r="A190" s="266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327">
        <f t="shared" si="67"/>
        <v>117</v>
      </c>
      <c r="Y190" s="317">
        <v>13.734066666666665</v>
      </c>
      <c r="Z190" s="317">
        <v>14.051772222222223</v>
      </c>
      <c r="AA190" s="328"/>
      <c r="AB190" s="329">
        <f t="shared" ref="AB190" si="119">AB189+1</f>
        <v>117</v>
      </c>
      <c r="AC190" s="321">
        <v>3.8369444444444442E-2</v>
      </c>
      <c r="AD190" s="321">
        <v>4.0941666666666668E-2</v>
      </c>
      <c r="AE190" s="266"/>
      <c r="AF190" s="266"/>
      <c r="AG190" s="266"/>
      <c r="AH190" s="266"/>
      <c r="AI190" s="266"/>
      <c r="AJ190" s="266"/>
    </row>
    <row r="191" spans="1:36" ht="17.399999999999999">
      <c r="A191" s="266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764" t="s">
        <v>112</v>
      </c>
      <c r="M191" s="765"/>
      <c r="N191" s="765"/>
      <c r="O191" s="765"/>
      <c r="P191" s="765"/>
      <c r="Q191" s="765"/>
      <c r="R191" s="765"/>
      <c r="S191" s="766"/>
      <c r="T191" s="266"/>
      <c r="U191" s="266"/>
      <c r="V191" s="266"/>
      <c r="W191" s="266"/>
      <c r="X191" s="327">
        <f t="shared" si="67"/>
        <v>118</v>
      </c>
      <c r="Y191" s="317">
        <v>14.051772222222223</v>
      </c>
      <c r="Z191" s="317">
        <v>14.365619444444444</v>
      </c>
      <c r="AA191" s="328"/>
      <c r="AB191" s="329">
        <f t="shared" ref="AB191" si="120">AB190+1</f>
        <v>118</v>
      </c>
      <c r="AC191" s="321">
        <v>4.0941666666666668E-2</v>
      </c>
      <c r="AD191" s="321">
        <v>4.3372222222222222E-2</v>
      </c>
      <c r="AE191" s="266"/>
      <c r="AF191" s="266"/>
      <c r="AG191" s="266"/>
      <c r="AH191" s="266"/>
      <c r="AI191" s="266"/>
      <c r="AJ191" s="266"/>
    </row>
    <row r="192" spans="1:36">
      <c r="A192" s="266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362" t="s">
        <v>113</v>
      </c>
      <c r="M192" s="271" t="s">
        <v>24</v>
      </c>
      <c r="N192" s="271" t="s">
        <v>25</v>
      </c>
      <c r="O192" s="271" t="s">
        <v>26</v>
      </c>
      <c r="P192" s="271" t="s">
        <v>27</v>
      </c>
      <c r="Q192" s="271" t="s">
        <v>18</v>
      </c>
      <c r="R192" s="271" t="s">
        <v>28</v>
      </c>
      <c r="S192" s="271" t="s">
        <v>30</v>
      </c>
      <c r="T192" s="343"/>
      <c r="U192" s="266"/>
      <c r="V192" s="266"/>
      <c r="W192" s="266"/>
      <c r="X192" s="327">
        <f t="shared" si="67"/>
        <v>119</v>
      </c>
      <c r="Y192" s="317">
        <v>14.365619444444444</v>
      </c>
      <c r="Z192" s="317">
        <v>14.675516666666667</v>
      </c>
      <c r="AA192" s="328"/>
      <c r="AB192" s="329">
        <f t="shared" ref="AB192" si="121">AB191+1</f>
        <v>119</v>
      </c>
      <c r="AC192" s="321">
        <v>4.3372222222222222E-2</v>
      </c>
      <c r="AD192" s="321">
        <v>4.5661111111111111E-2</v>
      </c>
      <c r="AE192" s="266"/>
      <c r="AF192" s="266"/>
      <c r="AG192" s="266"/>
      <c r="AH192" s="266"/>
      <c r="AI192" s="266"/>
      <c r="AJ192" s="266"/>
    </row>
    <row r="193" spans="1:36" ht="17.399999999999999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363"/>
      <c r="M193" s="277" t="s">
        <v>39</v>
      </c>
      <c r="N193" s="277" t="s">
        <v>40</v>
      </c>
      <c r="O193" s="277" t="s">
        <v>36</v>
      </c>
      <c r="P193" s="277" t="s">
        <v>33</v>
      </c>
      <c r="Q193" s="277" t="s">
        <v>41</v>
      </c>
      <c r="R193" s="277" t="s">
        <v>42</v>
      </c>
      <c r="S193" s="277" t="s">
        <v>44</v>
      </c>
      <c r="T193" s="343"/>
      <c r="U193" s="769" t="s">
        <v>114</v>
      </c>
      <c r="V193" s="770"/>
      <c r="W193" s="266"/>
      <c r="X193" s="327">
        <f t="shared" si="67"/>
        <v>120</v>
      </c>
      <c r="Y193" s="317">
        <v>14.675516666666667</v>
      </c>
      <c r="Z193" s="317">
        <v>14.981377777777778</v>
      </c>
      <c r="AA193" s="328"/>
      <c r="AB193" s="329">
        <f t="shared" ref="AB193" si="122">AB192+1</f>
        <v>120</v>
      </c>
      <c r="AC193" s="321">
        <v>4.5661111111111111E-2</v>
      </c>
      <c r="AD193" s="321">
        <v>4.7802777777777777E-2</v>
      </c>
      <c r="AE193" s="266"/>
      <c r="AF193" s="266"/>
      <c r="AG193" s="266"/>
      <c r="AH193" s="266"/>
      <c r="AI193" s="266"/>
      <c r="AJ193" s="266"/>
    </row>
    <row r="194" spans="1:36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364">
        <v>1</v>
      </c>
      <c r="M194" s="288">
        <v>2</v>
      </c>
      <c r="N194" s="289">
        <v>3</v>
      </c>
      <c r="O194" s="290">
        <v>4</v>
      </c>
      <c r="P194" s="291">
        <v>5</v>
      </c>
      <c r="Q194" s="292">
        <v>6</v>
      </c>
      <c r="R194" s="293">
        <v>7</v>
      </c>
      <c r="S194" s="295">
        <v>8</v>
      </c>
      <c r="T194" s="343"/>
      <c r="U194" s="365" t="s">
        <v>115</v>
      </c>
      <c r="V194" s="366">
        <f>PROSES!D29</f>
        <v>2026</v>
      </c>
      <c r="W194" s="266"/>
      <c r="X194" s="327">
        <f t="shared" si="67"/>
        <v>121</v>
      </c>
      <c r="Y194" s="317">
        <v>14.981377777777778</v>
      </c>
      <c r="Z194" s="317">
        <v>15.283111111111111</v>
      </c>
      <c r="AA194" s="328"/>
      <c r="AB194" s="329">
        <f t="shared" ref="AB194" si="123">AB193+1</f>
        <v>121</v>
      </c>
      <c r="AC194" s="321">
        <v>4.7802777777777777E-2</v>
      </c>
      <c r="AD194" s="321">
        <v>4.9794444444444447E-2</v>
      </c>
      <c r="AE194" s="266"/>
      <c r="AF194" s="266"/>
      <c r="AG194" s="266"/>
      <c r="AH194" s="266"/>
      <c r="AI194" s="266"/>
      <c r="AJ194" s="266"/>
    </row>
    <row r="195" spans="1:36">
      <c r="A195" s="266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364">
        <v>0</v>
      </c>
      <c r="M195" s="288">
        <v>0</v>
      </c>
      <c r="N195" s="289">
        <v>0</v>
      </c>
      <c r="O195" s="290">
        <v>0</v>
      </c>
      <c r="P195" s="291">
        <v>0</v>
      </c>
      <c r="Q195" s="292">
        <v>0</v>
      </c>
      <c r="R195" s="293">
        <v>0</v>
      </c>
      <c r="S195" s="295">
        <v>0</v>
      </c>
      <c r="T195" s="343"/>
      <c r="U195" s="367" t="s">
        <v>116</v>
      </c>
      <c r="V195" s="297" t="s">
        <v>48</v>
      </c>
      <c r="W195" s="266"/>
      <c r="X195" s="327">
        <f t="shared" si="67"/>
        <v>122</v>
      </c>
      <c r="Y195" s="317">
        <v>15.283111111111111</v>
      </c>
      <c r="Z195" s="317">
        <v>15.580630555555555</v>
      </c>
      <c r="AA195" s="328"/>
      <c r="AB195" s="329">
        <f t="shared" ref="AB195" si="124">AB194+1</f>
        <v>122</v>
      </c>
      <c r="AC195" s="321">
        <v>4.9794444444444447E-2</v>
      </c>
      <c r="AD195" s="321">
        <v>5.1638888888888894E-2</v>
      </c>
      <c r="AE195" s="266"/>
      <c r="AF195" s="266"/>
      <c r="AG195" s="266"/>
      <c r="AH195" s="266"/>
      <c r="AI195" s="266"/>
      <c r="AJ195" s="266"/>
    </row>
    <row r="196" spans="1:36">
      <c r="A196" s="266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364">
        <v>1</v>
      </c>
      <c r="M196" s="288">
        <v>6.9999999999999999E-4</v>
      </c>
      <c r="N196" s="289">
        <v>6.9999999999999999E-4</v>
      </c>
      <c r="O196" s="290">
        <v>9.1999999999999998E-3</v>
      </c>
      <c r="P196" s="291">
        <v>9.1000000000000004E-3</v>
      </c>
      <c r="Q196" s="292">
        <v>9.1999999999999998E-3</v>
      </c>
      <c r="R196" s="293">
        <v>8.5000000000000006E-3</v>
      </c>
      <c r="S196" s="295">
        <v>0.25069999999999998</v>
      </c>
      <c r="T196" s="343"/>
      <c r="U196" s="368">
        <v>1</v>
      </c>
      <c r="V196" s="316">
        <f>IF(MOD(V194,4)=0,-1,0)</f>
        <v>0</v>
      </c>
      <c r="W196" s="266"/>
      <c r="X196" s="327">
        <f t="shared" si="67"/>
        <v>123</v>
      </c>
      <c r="Y196" s="317">
        <v>15.580630555555555</v>
      </c>
      <c r="Z196" s="317">
        <v>15.873850000000001</v>
      </c>
      <c r="AA196" s="328"/>
      <c r="AB196" s="329">
        <f t="shared" ref="AB196" si="125">AB195+1</f>
        <v>123</v>
      </c>
      <c r="AC196" s="321">
        <v>5.1638888888888894E-2</v>
      </c>
      <c r="AD196" s="321">
        <v>5.3327777777777779E-2</v>
      </c>
      <c r="AE196" s="266"/>
      <c r="AF196" s="266"/>
      <c r="AG196" s="266"/>
      <c r="AH196" s="266"/>
      <c r="AI196" s="266"/>
      <c r="AJ196" s="266"/>
    </row>
    <row r="197" spans="1:36">
      <c r="A197" s="266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364">
        <v>2</v>
      </c>
      <c r="M197" s="288">
        <v>1.4E-3</v>
      </c>
      <c r="N197" s="289">
        <v>1.4E-3</v>
      </c>
      <c r="O197" s="290">
        <v>1.83E-2</v>
      </c>
      <c r="P197" s="291">
        <v>1.8100000000000002E-2</v>
      </c>
      <c r="Q197" s="292">
        <v>1.84E-2</v>
      </c>
      <c r="R197" s="293">
        <v>1.6899999999999998E-2</v>
      </c>
      <c r="S197" s="295">
        <v>0.50139999999999996</v>
      </c>
      <c r="T197" s="343"/>
      <c r="U197" s="368">
        <v>2</v>
      </c>
      <c r="V197" s="316">
        <f>IF(OR(OR(MOD(V194,4)=0,MOD(V194,100)=0),MOD(V194,400)=0),30,31)</f>
        <v>31</v>
      </c>
      <c r="W197" s="266"/>
      <c r="X197" s="327">
        <f t="shared" si="67"/>
        <v>124</v>
      </c>
      <c r="Y197" s="317">
        <v>15.873850000000001</v>
      </c>
      <c r="Z197" s="317">
        <v>16.162680555555553</v>
      </c>
      <c r="AA197" s="328"/>
      <c r="AB197" s="329">
        <f t="shared" ref="AB197" si="126">AB196+1</f>
        <v>124</v>
      </c>
      <c r="AC197" s="321">
        <v>5.3327777777777779E-2</v>
      </c>
      <c r="AD197" s="321">
        <v>5.4866666666666668E-2</v>
      </c>
      <c r="AE197" s="266"/>
      <c r="AF197" s="266"/>
      <c r="AG197" s="266"/>
      <c r="AH197" s="266"/>
      <c r="AI197" s="266"/>
      <c r="AJ197" s="266"/>
    </row>
    <row r="198" spans="1:36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364">
        <v>3</v>
      </c>
      <c r="M198" s="288">
        <v>2.0999999999999999E-3</v>
      </c>
      <c r="N198" s="289">
        <v>2.0999999999999999E-3</v>
      </c>
      <c r="O198" s="290">
        <v>2.75E-2</v>
      </c>
      <c r="P198" s="291">
        <v>2.7199999999999998E-2</v>
      </c>
      <c r="Q198" s="292">
        <v>2.76E-2</v>
      </c>
      <c r="R198" s="293">
        <v>2.5399999999999999E-2</v>
      </c>
      <c r="S198" s="295">
        <v>0.75209999999999999</v>
      </c>
      <c r="T198" s="343"/>
      <c r="U198" s="368">
        <v>3</v>
      </c>
      <c r="V198" s="316">
        <v>59</v>
      </c>
      <c r="W198" s="266"/>
      <c r="X198" s="327">
        <f t="shared" si="67"/>
        <v>125</v>
      </c>
      <c r="Y198" s="317">
        <v>16.162680555555553</v>
      </c>
      <c r="Z198" s="317">
        <v>16.447038888888891</v>
      </c>
      <c r="AA198" s="328"/>
      <c r="AB198" s="329">
        <f t="shared" ref="AB198" si="127">AB197+1</f>
        <v>125</v>
      </c>
      <c r="AC198" s="321">
        <v>5.4866666666666668E-2</v>
      </c>
      <c r="AD198" s="321">
        <v>5.6247222222222226E-2</v>
      </c>
      <c r="AE198" s="266"/>
      <c r="AF198" s="266"/>
      <c r="AG198" s="266"/>
      <c r="AH198" s="266"/>
      <c r="AI198" s="266"/>
      <c r="AJ198" s="266"/>
    </row>
    <row r="199" spans="1:36">
      <c r="A199" s="266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364">
        <v>4</v>
      </c>
      <c r="M199" s="288">
        <v>2.7000000000000001E-3</v>
      </c>
      <c r="N199" s="289">
        <v>2.7000000000000001E-3</v>
      </c>
      <c r="O199" s="290">
        <v>3.6600000000000001E-2</v>
      </c>
      <c r="P199" s="291">
        <v>3.6299999999999999E-2</v>
      </c>
      <c r="Q199" s="292">
        <v>3.6700000000000003E-2</v>
      </c>
      <c r="R199" s="293">
        <v>3.39E-2</v>
      </c>
      <c r="S199" s="295">
        <v>1.0026999999999999</v>
      </c>
      <c r="T199" s="266"/>
      <c r="U199" s="368">
        <v>4</v>
      </c>
      <c r="V199" s="316">
        <v>90</v>
      </c>
      <c r="W199" s="266"/>
      <c r="X199" s="327">
        <f t="shared" si="67"/>
        <v>126</v>
      </c>
      <c r="Y199" s="317">
        <v>16.447038888888891</v>
      </c>
      <c r="Z199" s="317">
        <v>16.726836111111108</v>
      </c>
      <c r="AA199" s="328"/>
      <c r="AB199" s="329">
        <f t="shared" ref="AB199" si="128">AB198+1</f>
        <v>126</v>
      </c>
      <c r="AC199" s="321">
        <v>5.6247222222222226E-2</v>
      </c>
      <c r="AD199" s="321">
        <v>5.7472222222222223E-2</v>
      </c>
      <c r="AE199" s="266"/>
      <c r="AF199" s="266"/>
      <c r="AG199" s="266"/>
      <c r="AH199" s="266"/>
      <c r="AI199" s="266"/>
      <c r="AJ199" s="266"/>
    </row>
    <row r="200" spans="1:36">
      <c r="A200" s="266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364">
        <v>5</v>
      </c>
      <c r="M200" s="288">
        <v>3.3999999999999998E-3</v>
      </c>
      <c r="N200" s="289">
        <v>3.3999999999999998E-3</v>
      </c>
      <c r="O200" s="290">
        <v>4.58E-2</v>
      </c>
      <c r="P200" s="291">
        <v>4.5400000000000003E-2</v>
      </c>
      <c r="Q200" s="292">
        <v>4.5900000000000003E-2</v>
      </c>
      <c r="R200" s="293">
        <v>4.2299999999999997E-2</v>
      </c>
      <c r="S200" s="295">
        <v>1.2534000000000001</v>
      </c>
      <c r="T200" s="266"/>
      <c r="U200" s="368">
        <v>5</v>
      </c>
      <c r="V200" s="316">
        <v>120</v>
      </c>
      <c r="W200" s="266"/>
      <c r="X200" s="327">
        <f t="shared" si="67"/>
        <v>127</v>
      </c>
      <c r="Y200" s="317">
        <v>16.726836111111108</v>
      </c>
      <c r="Z200" s="317">
        <v>17.001991666666665</v>
      </c>
      <c r="AA200" s="328"/>
      <c r="AB200" s="329">
        <f t="shared" ref="AB200" si="129">AB199+1</f>
        <v>127</v>
      </c>
      <c r="AC200" s="321">
        <v>5.7472222222222223E-2</v>
      </c>
      <c r="AD200" s="321">
        <v>5.8541666666666672E-2</v>
      </c>
      <c r="AE200" s="266"/>
      <c r="AF200" s="266"/>
      <c r="AG200" s="266"/>
      <c r="AH200" s="266"/>
      <c r="AI200" s="266"/>
      <c r="AJ200" s="266"/>
    </row>
    <row r="201" spans="1:36">
      <c r="A201" s="266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364">
        <v>6</v>
      </c>
      <c r="M201" s="288">
        <v>4.1000000000000003E-3</v>
      </c>
      <c r="N201" s="289">
        <v>4.1000000000000003E-3</v>
      </c>
      <c r="O201" s="290">
        <v>5.4899999999999997E-2</v>
      </c>
      <c r="P201" s="291">
        <v>5.4399999999999997E-2</v>
      </c>
      <c r="Q201" s="292">
        <v>5.5100000000000003E-2</v>
      </c>
      <c r="R201" s="293">
        <v>5.0799999999999998E-2</v>
      </c>
      <c r="S201" s="295">
        <v>1.5041</v>
      </c>
      <c r="T201" s="266"/>
      <c r="U201" s="368">
        <v>6</v>
      </c>
      <c r="V201" s="316">
        <v>151</v>
      </c>
      <c r="W201" s="266"/>
      <c r="X201" s="327">
        <f t="shared" si="67"/>
        <v>128</v>
      </c>
      <c r="Y201" s="317">
        <v>17.001991666666665</v>
      </c>
      <c r="Z201" s="317">
        <v>17.272416666666665</v>
      </c>
      <c r="AA201" s="328"/>
      <c r="AB201" s="329">
        <f t="shared" ref="AB201" si="130">AB200+1</f>
        <v>128</v>
      </c>
      <c r="AC201" s="321">
        <v>5.8541666666666672E-2</v>
      </c>
      <c r="AD201" s="321">
        <v>5.9452777777777785E-2</v>
      </c>
      <c r="AE201" s="266"/>
      <c r="AF201" s="266"/>
      <c r="AG201" s="266"/>
      <c r="AH201" s="266"/>
      <c r="AI201" s="266"/>
      <c r="AJ201" s="266"/>
    </row>
    <row r="202" spans="1:36">
      <c r="A202" s="266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364">
        <v>7</v>
      </c>
      <c r="M202" s="288">
        <v>4.7999999999999996E-3</v>
      </c>
      <c r="N202" s="289">
        <v>4.7999999999999996E-3</v>
      </c>
      <c r="O202" s="290">
        <v>6.4100000000000004E-2</v>
      </c>
      <c r="P202" s="291">
        <v>6.3500000000000001E-2</v>
      </c>
      <c r="Q202" s="292">
        <v>6.4299999999999996E-2</v>
      </c>
      <c r="R202" s="293">
        <v>5.9299999999999999E-2</v>
      </c>
      <c r="S202" s="295">
        <v>1.7547999999999999</v>
      </c>
      <c r="T202" s="266"/>
      <c r="U202" s="368">
        <v>7</v>
      </c>
      <c r="V202" s="316">
        <v>181</v>
      </c>
      <c r="W202" s="266"/>
      <c r="X202" s="327">
        <f t="shared" si="67"/>
        <v>129</v>
      </c>
      <c r="Y202" s="317">
        <v>17.272416666666665</v>
      </c>
      <c r="Z202" s="317">
        <v>17.538030555555558</v>
      </c>
      <c r="AA202" s="328"/>
      <c r="AB202" s="329">
        <f t="shared" ref="AB202" si="131">AB201+1</f>
        <v>129</v>
      </c>
      <c r="AC202" s="321">
        <v>5.9452777777777785E-2</v>
      </c>
      <c r="AD202" s="321">
        <v>6.0205555555555561E-2</v>
      </c>
      <c r="AE202" s="266"/>
      <c r="AF202" s="266"/>
      <c r="AG202" s="266"/>
      <c r="AH202" s="266"/>
      <c r="AI202" s="266"/>
      <c r="AJ202" s="266"/>
    </row>
    <row r="203" spans="1:36">
      <c r="A203" s="266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364">
        <v>8</v>
      </c>
      <c r="M203" s="288">
        <v>5.4999999999999997E-3</v>
      </c>
      <c r="N203" s="289">
        <v>5.4999999999999997E-3</v>
      </c>
      <c r="O203" s="290">
        <v>7.3200000000000001E-2</v>
      </c>
      <c r="P203" s="291">
        <v>7.2599999999999998E-2</v>
      </c>
      <c r="Q203" s="292">
        <v>7.3499999999999996E-2</v>
      </c>
      <c r="R203" s="293">
        <v>6.7699999999999996E-2</v>
      </c>
      <c r="S203" s="295">
        <v>2.0055000000000001</v>
      </c>
      <c r="T203" s="266"/>
      <c r="U203" s="368">
        <v>8</v>
      </c>
      <c r="V203" s="316">
        <v>212</v>
      </c>
      <c r="W203" s="266"/>
      <c r="X203" s="327">
        <f t="shared" si="67"/>
        <v>130</v>
      </c>
      <c r="Y203" s="317">
        <v>17.538030555555558</v>
      </c>
      <c r="Z203" s="317">
        <v>17.798752777777779</v>
      </c>
      <c r="AA203" s="328"/>
      <c r="AB203" s="329">
        <f t="shared" ref="AB203" si="132">AB202+1</f>
        <v>130</v>
      </c>
      <c r="AC203" s="321">
        <v>6.0205555555555561E-2</v>
      </c>
      <c r="AD203" s="321">
        <v>6.0800000000000007E-2</v>
      </c>
      <c r="AE203" s="266"/>
      <c r="AF203" s="266"/>
      <c r="AG203" s="266"/>
      <c r="AH203" s="266"/>
      <c r="AI203" s="266"/>
      <c r="AJ203" s="266"/>
    </row>
    <row r="204" spans="1:36">
      <c r="A204" s="266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364">
        <v>9</v>
      </c>
      <c r="M204" s="288">
        <v>6.1999999999999998E-3</v>
      </c>
      <c r="N204" s="289">
        <v>6.1999999999999998E-3</v>
      </c>
      <c r="O204" s="290">
        <v>8.2400000000000001E-2</v>
      </c>
      <c r="P204" s="291">
        <v>8.1699999999999995E-2</v>
      </c>
      <c r="Q204" s="292">
        <v>8.2699999999999996E-2</v>
      </c>
      <c r="R204" s="293">
        <v>7.6200000000000004E-2</v>
      </c>
      <c r="S204" s="295">
        <v>2.2562000000000002</v>
      </c>
      <c r="T204" s="266"/>
      <c r="U204" s="368">
        <v>9</v>
      </c>
      <c r="V204" s="316">
        <v>243</v>
      </c>
      <c r="W204" s="266"/>
      <c r="X204" s="327">
        <f t="shared" ref="X204:X267" si="133">X203+1</f>
        <v>131</v>
      </c>
      <c r="Y204" s="317">
        <v>17.798752777777779</v>
      </c>
      <c r="Z204" s="317">
        <v>18.054497222222224</v>
      </c>
      <c r="AA204" s="328"/>
      <c r="AB204" s="329">
        <f t="shared" ref="AB204" si="134">AB203+1</f>
        <v>131</v>
      </c>
      <c r="AC204" s="321">
        <v>6.0800000000000007E-2</v>
      </c>
      <c r="AD204" s="321">
        <v>6.1233333333333334E-2</v>
      </c>
      <c r="AE204" s="266"/>
      <c r="AF204" s="266"/>
      <c r="AG204" s="266"/>
      <c r="AH204" s="266"/>
      <c r="AI204" s="266"/>
      <c r="AJ204" s="266"/>
    </row>
    <row r="205" spans="1:36">
      <c r="A205" s="266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364">
        <v>10</v>
      </c>
      <c r="M205" s="288">
        <v>6.7999999999999996E-3</v>
      </c>
      <c r="N205" s="289">
        <v>6.7999999999999996E-3</v>
      </c>
      <c r="O205" s="290">
        <v>9.1499999999999998E-2</v>
      </c>
      <c r="P205" s="291">
        <v>9.0700000000000003E-2</v>
      </c>
      <c r="Q205" s="292">
        <v>9.1899999999999996E-2</v>
      </c>
      <c r="R205" s="293">
        <v>8.4699999999999998E-2</v>
      </c>
      <c r="S205" s="295">
        <v>2.5068000000000001</v>
      </c>
      <c r="T205" s="266"/>
      <c r="U205" s="368">
        <v>10</v>
      </c>
      <c r="V205" s="316">
        <v>273</v>
      </c>
      <c r="W205" s="266"/>
      <c r="X205" s="327">
        <f t="shared" si="133"/>
        <v>132</v>
      </c>
      <c r="Y205" s="317">
        <v>18.054497222222224</v>
      </c>
      <c r="Z205" s="317">
        <v>18.305186111111112</v>
      </c>
      <c r="AA205" s="328"/>
      <c r="AB205" s="329">
        <f t="shared" ref="AB205" si="135">AB204+1</f>
        <v>132</v>
      </c>
      <c r="AC205" s="321">
        <v>6.1233333333333334E-2</v>
      </c>
      <c r="AD205" s="321">
        <v>6.1508333333333338E-2</v>
      </c>
      <c r="AE205" s="266"/>
      <c r="AF205" s="266"/>
      <c r="AG205" s="266"/>
      <c r="AH205" s="266"/>
      <c r="AI205" s="266"/>
      <c r="AJ205" s="266"/>
    </row>
    <row r="206" spans="1:36">
      <c r="A206" s="266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364">
        <v>11</v>
      </c>
      <c r="M206" s="288">
        <v>7.4999999999999997E-3</v>
      </c>
      <c r="N206" s="289">
        <v>7.4999999999999997E-3</v>
      </c>
      <c r="O206" s="290">
        <v>0.1007</v>
      </c>
      <c r="P206" s="291">
        <v>9.98E-2</v>
      </c>
      <c r="Q206" s="292">
        <v>0.1011</v>
      </c>
      <c r="R206" s="293">
        <v>9.3100000000000002E-2</v>
      </c>
      <c r="S206" s="295">
        <v>2.7574999999999998</v>
      </c>
      <c r="T206" s="266"/>
      <c r="U206" s="368">
        <v>11</v>
      </c>
      <c r="V206" s="316">
        <v>304</v>
      </c>
      <c r="W206" s="266"/>
      <c r="X206" s="327">
        <f t="shared" si="133"/>
        <v>133</v>
      </c>
      <c r="Y206" s="317">
        <v>18.305186111111112</v>
      </c>
      <c r="Z206" s="317">
        <v>18.55073888888889</v>
      </c>
      <c r="AA206" s="328"/>
      <c r="AB206" s="329">
        <f t="shared" ref="AB206" si="136">AB205+1</f>
        <v>133</v>
      </c>
      <c r="AC206" s="321">
        <v>6.1508333333333338E-2</v>
      </c>
      <c r="AD206" s="321">
        <v>6.1624999999999999E-2</v>
      </c>
      <c r="AE206" s="266"/>
      <c r="AF206" s="266"/>
      <c r="AG206" s="266"/>
      <c r="AH206" s="266"/>
      <c r="AI206" s="266"/>
      <c r="AJ206" s="266"/>
    </row>
    <row r="207" spans="1:36">
      <c r="A207" s="266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364">
        <v>12</v>
      </c>
      <c r="M207" s="288">
        <v>8.2000000000000007E-3</v>
      </c>
      <c r="N207" s="289">
        <v>8.2000000000000007E-3</v>
      </c>
      <c r="O207" s="290">
        <v>0.10979999999999999</v>
      </c>
      <c r="P207" s="291">
        <v>0.1089</v>
      </c>
      <c r="Q207" s="292">
        <v>0.11020000000000001</v>
      </c>
      <c r="R207" s="293">
        <v>0.1016</v>
      </c>
      <c r="S207" s="295">
        <v>3.0082</v>
      </c>
      <c r="T207" s="266"/>
      <c r="U207" s="369">
        <v>12</v>
      </c>
      <c r="V207" s="318">
        <v>334</v>
      </c>
      <c r="W207" s="266"/>
      <c r="X207" s="327">
        <f t="shared" si="133"/>
        <v>134</v>
      </c>
      <c r="Y207" s="317">
        <v>18.55073888888889</v>
      </c>
      <c r="Z207" s="317">
        <v>18.79107777777778</v>
      </c>
      <c r="AA207" s="328"/>
      <c r="AB207" s="329">
        <f t="shared" ref="AB207" si="137">AB206+1</f>
        <v>134</v>
      </c>
      <c r="AC207" s="321">
        <v>6.1624999999999999E-2</v>
      </c>
      <c r="AD207" s="321">
        <v>6.1583333333333337E-2</v>
      </c>
      <c r="AE207" s="266"/>
      <c r="AF207" s="266"/>
      <c r="AG207" s="266"/>
      <c r="AH207" s="266"/>
      <c r="AI207" s="266"/>
      <c r="AJ207" s="266"/>
    </row>
    <row r="208" spans="1:36">
      <c r="A208" s="266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364">
        <v>13</v>
      </c>
      <c r="M208" s="288">
        <v>8.8999999999999999E-3</v>
      </c>
      <c r="N208" s="289">
        <v>8.8999999999999999E-3</v>
      </c>
      <c r="O208" s="290">
        <v>0.11899999999999999</v>
      </c>
      <c r="P208" s="291">
        <v>0.1179</v>
      </c>
      <c r="Q208" s="292">
        <v>0.11940000000000001</v>
      </c>
      <c r="R208" s="293">
        <v>0.1101</v>
      </c>
      <c r="S208" s="295">
        <v>3.2589000000000001</v>
      </c>
      <c r="T208" s="266"/>
      <c r="U208" s="266"/>
      <c r="V208" s="266"/>
      <c r="W208" s="266"/>
      <c r="X208" s="327">
        <f t="shared" si="133"/>
        <v>135</v>
      </c>
      <c r="Y208" s="317">
        <v>18.79107777777778</v>
      </c>
      <c r="Z208" s="317">
        <v>19.026127777777777</v>
      </c>
      <c r="AA208" s="328"/>
      <c r="AB208" s="329">
        <f t="shared" ref="AB208" si="138">AB207+1</f>
        <v>135</v>
      </c>
      <c r="AC208" s="321">
        <v>6.1583333333333337E-2</v>
      </c>
      <c r="AD208" s="321">
        <v>6.1383333333333331E-2</v>
      </c>
      <c r="AE208" s="266"/>
      <c r="AF208" s="266"/>
      <c r="AG208" s="266"/>
      <c r="AH208" s="266"/>
      <c r="AI208" s="266"/>
      <c r="AJ208" s="266"/>
    </row>
    <row r="209" spans="1:36">
      <c r="A209" s="266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364">
        <v>14</v>
      </c>
      <c r="M209" s="288">
        <v>9.5999999999999992E-3</v>
      </c>
      <c r="N209" s="289">
        <v>9.5999999999999992E-3</v>
      </c>
      <c r="O209" s="290">
        <v>0.12809999999999999</v>
      </c>
      <c r="P209" s="291">
        <v>0.127</v>
      </c>
      <c r="Q209" s="292">
        <v>0.12859999999999999</v>
      </c>
      <c r="R209" s="293">
        <v>0.11849999999999999</v>
      </c>
      <c r="S209" s="295">
        <v>3.5095999999999998</v>
      </c>
      <c r="T209" s="266"/>
      <c r="U209" s="266"/>
      <c r="V209" s="266"/>
      <c r="W209" s="266"/>
      <c r="X209" s="327">
        <f t="shared" si="133"/>
        <v>136</v>
      </c>
      <c r="Y209" s="317">
        <v>19.026127777777777</v>
      </c>
      <c r="Z209" s="317">
        <v>19.255805555555554</v>
      </c>
      <c r="AA209" s="328"/>
      <c r="AB209" s="329">
        <f t="shared" ref="AB209" si="139">AB208+1</f>
        <v>136</v>
      </c>
      <c r="AC209" s="321">
        <v>6.1383333333333331E-2</v>
      </c>
      <c r="AD209" s="321">
        <v>6.1027777777777778E-2</v>
      </c>
      <c r="AE209" s="266"/>
      <c r="AF209" s="266"/>
      <c r="AG209" s="266"/>
      <c r="AH209" s="266"/>
      <c r="AI209" s="266"/>
      <c r="AJ209" s="266"/>
    </row>
    <row r="210" spans="1:36">
      <c r="A210" s="266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364">
        <v>15</v>
      </c>
      <c r="M210" s="288">
        <v>1.03E-2</v>
      </c>
      <c r="N210" s="289">
        <v>1.03E-2</v>
      </c>
      <c r="O210" s="290">
        <v>0.13730000000000001</v>
      </c>
      <c r="P210" s="291">
        <v>0.1361</v>
      </c>
      <c r="Q210" s="292">
        <v>0.13780000000000001</v>
      </c>
      <c r="R210" s="293">
        <v>0.127</v>
      </c>
      <c r="S210" s="295">
        <v>3.7603</v>
      </c>
      <c r="T210" s="266"/>
      <c r="U210" s="266"/>
      <c r="V210" s="266"/>
      <c r="W210" s="266"/>
      <c r="X210" s="327">
        <f t="shared" si="133"/>
        <v>137</v>
      </c>
      <c r="Y210" s="317">
        <v>19.255805555555554</v>
      </c>
      <c r="Z210" s="317">
        <v>19.480041666666665</v>
      </c>
      <c r="AA210" s="328"/>
      <c r="AB210" s="329">
        <f t="shared" ref="AB210" si="140">AB209+1</f>
        <v>137</v>
      </c>
      <c r="AC210" s="321">
        <v>6.1027777777777778E-2</v>
      </c>
      <c r="AD210" s="321">
        <v>6.051666666666667E-2</v>
      </c>
      <c r="AE210" s="266"/>
      <c r="AF210" s="266"/>
      <c r="AG210" s="266"/>
      <c r="AH210" s="266"/>
      <c r="AI210" s="266"/>
      <c r="AJ210" s="266"/>
    </row>
    <row r="211" spans="1:36">
      <c r="A211" s="266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364">
        <v>16</v>
      </c>
      <c r="M211" s="288">
        <v>1.0999999999999999E-2</v>
      </c>
      <c r="N211" s="289">
        <v>1.0999999999999999E-2</v>
      </c>
      <c r="O211" s="290">
        <v>0.1464</v>
      </c>
      <c r="P211" s="291">
        <v>0.1452</v>
      </c>
      <c r="Q211" s="292">
        <v>0.14699999999999999</v>
      </c>
      <c r="R211" s="293">
        <v>0.13550000000000001</v>
      </c>
      <c r="S211" s="295">
        <v>4.0110000000000001</v>
      </c>
      <c r="T211" s="266"/>
      <c r="U211" s="266"/>
      <c r="V211" s="266"/>
      <c r="W211" s="266"/>
      <c r="X211" s="327">
        <f t="shared" si="133"/>
        <v>138</v>
      </c>
      <c r="Y211" s="317">
        <v>19.480041666666665</v>
      </c>
      <c r="Z211" s="317">
        <v>19.698761111111111</v>
      </c>
      <c r="AA211" s="328"/>
      <c r="AB211" s="329">
        <f t="shared" ref="AB211" si="141">AB210+1</f>
        <v>138</v>
      </c>
      <c r="AC211" s="321">
        <v>6.051666666666667E-2</v>
      </c>
      <c r="AD211" s="321">
        <v>5.985E-2</v>
      </c>
      <c r="AE211" s="266"/>
      <c r="AF211" s="266"/>
      <c r="AG211" s="266"/>
      <c r="AH211" s="266"/>
      <c r="AI211" s="266"/>
      <c r="AJ211" s="266"/>
    </row>
    <row r="212" spans="1:36">
      <c r="A212" s="266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364">
        <v>17</v>
      </c>
      <c r="M212" s="288">
        <v>1.1599999999999999E-2</v>
      </c>
      <c r="N212" s="289">
        <v>1.1599999999999999E-2</v>
      </c>
      <c r="O212" s="290">
        <v>0.15559999999999999</v>
      </c>
      <c r="P212" s="291">
        <v>0.1542</v>
      </c>
      <c r="Q212" s="292">
        <v>0.15620000000000001</v>
      </c>
      <c r="R212" s="293">
        <v>0.1439</v>
      </c>
      <c r="S212" s="295">
        <v>4.2615999999999996</v>
      </c>
      <c r="T212" s="266"/>
      <c r="U212" s="266"/>
      <c r="V212" s="266"/>
      <c r="W212" s="266"/>
      <c r="X212" s="327">
        <f t="shared" si="133"/>
        <v>139</v>
      </c>
      <c r="Y212" s="317">
        <v>19.698761111111111</v>
      </c>
      <c r="Z212" s="317">
        <v>19.911888888888889</v>
      </c>
      <c r="AA212" s="328"/>
      <c r="AB212" s="329">
        <f t="shared" ref="AB212" si="142">AB211+1</f>
        <v>139</v>
      </c>
      <c r="AC212" s="321">
        <v>5.985E-2</v>
      </c>
      <c r="AD212" s="321">
        <v>5.903333333333334E-2</v>
      </c>
      <c r="AE212" s="266"/>
      <c r="AF212" s="266"/>
      <c r="AG212" s="266"/>
      <c r="AH212" s="266"/>
      <c r="AI212" s="266"/>
      <c r="AJ212" s="266"/>
    </row>
    <row r="213" spans="1:36">
      <c r="A213" s="266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364">
        <v>18</v>
      </c>
      <c r="M213" s="288">
        <v>1.23E-2</v>
      </c>
      <c r="N213" s="289">
        <v>1.23E-2</v>
      </c>
      <c r="O213" s="290">
        <v>0.16470000000000001</v>
      </c>
      <c r="P213" s="291">
        <v>0.1633</v>
      </c>
      <c r="Q213" s="292">
        <v>0.16539999999999999</v>
      </c>
      <c r="R213" s="293">
        <v>0.15240000000000001</v>
      </c>
      <c r="S213" s="295">
        <v>4.5122999999999998</v>
      </c>
      <c r="T213" s="266"/>
      <c r="U213" s="266"/>
      <c r="V213" s="266"/>
      <c r="W213" s="266"/>
      <c r="X213" s="327">
        <f t="shared" si="133"/>
        <v>140</v>
      </c>
      <c r="Y213" s="317">
        <v>19.911888888888889</v>
      </c>
      <c r="Z213" s="317">
        <v>20.119355555555558</v>
      </c>
      <c r="AA213" s="328"/>
      <c r="AB213" s="329">
        <f t="shared" ref="AB213" si="143">AB212+1</f>
        <v>140</v>
      </c>
      <c r="AC213" s="321">
        <v>5.903333333333334E-2</v>
      </c>
      <c r="AD213" s="321">
        <v>5.8063888888888894E-2</v>
      </c>
      <c r="AE213" s="266"/>
      <c r="AF213" s="266"/>
      <c r="AG213" s="266"/>
      <c r="AH213" s="266"/>
      <c r="AI213" s="266"/>
      <c r="AJ213" s="266"/>
    </row>
    <row r="214" spans="1:36">
      <c r="A214" s="266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364">
        <v>19</v>
      </c>
      <c r="M214" s="288">
        <v>1.2999999999999999E-2</v>
      </c>
      <c r="N214" s="289">
        <v>1.2999999999999999E-2</v>
      </c>
      <c r="O214" s="290">
        <v>0.1739</v>
      </c>
      <c r="P214" s="291">
        <v>0.1724</v>
      </c>
      <c r="Q214" s="292">
        <v>0.17460000000000001</v>
      </c>
      <c r="R214" s="293">
        <v>0.16089999999999999</v>
      </c>
      <c r="S214" s="295">
        <v>4.7629999999999999</v>
      </c>
      <c r="T214" s="266"/>
      <c r="U214" s="266"/>
      <c r="V214" s="266"/>
      <c r="W214" s="266"/>
      <c r="X214" s="327">
        <f t="shared" si="133"/>
        <v>141</v>
      </c>
      <c r="Y214" s="317">
        <v>20.119355555555558</v>
      </c>
      <c r="Z214" s="317">
        <v>20.321091666666668</v>
      </c>
      <c r="AA214" s="328"/>
      <c r="AB214" s="329">
        <f t="shared" ref="AB214" si="144">AB213+1</f>
        <v>141</v>
      </c>
      <c r="AC214" s="321">
        <v>5.8063888888888894E-2</v>
      </c>
      <c r="AD214" s="321">
        <v>5.6947222222222225E-2</v>
      </c>
      <c r="AE214" s="266"/>
      <c r="AF214" s="266"/>
      <c r="AG214" s="266"/>
      <c r="AH214" s="266"/>
      <c r="AI214" s="266"/>
      <c r="AJ214" s="266"/>
    </row>
    <row r="215" spans="1:36">
      <c r="A215" s="266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364">
        <v>20</v>
      </c>
      <c r="M215" s="288">
        <v>1.37E-2</v>
      </c>
      <c r="N215" s="289">
        <v>1.37E-2</v>
      </c>
      <c r="O215" s="290">
        <v>0.183</v>
      </c>
      <c r="P215" s="291">
        <v>0.18149999999999999</v>
      </c>
      <c r="Q215" s="292">
        <v>0.1837</v>
      </c>
      <c r="R215" s="293">
        <v>0.16930000000000001</v>
      </c>
      <c r="S215" s="295">
        <v>5.0137</v>
      </c>
      <c r="T215" s="266"/>
      <c r="U215" s="266"/>
      <c r="V215" s="266"/>
      <c r="W215" s="266"/>
      <c r="X215" s="327">
        <f t="shared" si="133"/>
        <v>142</v>
      </c>
      <c r="Y215" s="317">
        <v>20.321091666666668</v>
      </c>
      <c r="Z215" s="317">
        <v>20.517025</v>
      </c>
      <c r="AA215" s="328"/>
      <c r="AB215" s="329">
        <f t="shared" ref="AB215" si="145">AB214+1</f>
        <v>142</v>
      </c>
      <c r="AC215" s="321">
        <v>5.6947222222222225E-2</v>
      </c>
      <c r="AD215" s="321">
        <v>5.5683333333333335E-2</v>
      </c>
      <c r="AE215" s="266"/>
      <c r="AF215" s="266"/>
      <c r="AG215" s="266"/>
      <c r="AH215" s="266"/>
      <c r="AI215" s="266"/>
      <c r="AJ215" s="266"/>
    </row>
    <row r="216" spans="1:36">
      <c r="A216" s="266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364">
        <v>21</v>
      </c>
      <c r="M216" s="288">
        <v>1.44E-2</v>
      </c>
      <c r="N216" s="289">
        <v>1.44E-2</v>
      </c>
      <c r="O216" s="290">
        <v>0.19220000000000001</v>
      </c>
      <c r="P216" s="291">
        <v>0.1905</v>
      </c>
      <c r="Q216" s="292">
        <v>0.19289999999999999</v>
      </c>
      <c r="R216" s="293">
        <v>0.17780000000000001</v>
      </c>
      <c r="S216" s="295">
        <v>5.2644000000000002</v>
      </c>
      <c r="T216" s="266"/>
      <c r="U216" s="266"/>
      <c r="V216" s="266"/>
      <c r="W216" s="266"/>
      <c r="X216" s="327">
        <f t="shared" si="133"/>
        <v>143</v>
      </c>
      <c r="Y216" s="317">
        <v>20.517025</v>
      </c>
      <c r="Z216" s="317">
        <v>20.707094444444444</v>
      </c>
      <c r="AA216" s="328"/>
      <c r="AB216" s="329">
        <f t="shared" ref="AB216" si="146">AB215+1</f>
        <v>143</v>
      </c>
      <c r="AC216" s="321">
        <v>5.5683333333333335E-2</v>
      </c>
      <c r="AD216" s="321">
        <v>5.4275000000000004E-2</v>
      </c>
      <c r="AE216" s="266"/>
      <c r="AF216" s="266"/>
      <c r="AG216" s="266"/>
      <c r="AH216" s="266"/>
      <c r="AI216" s="266"/>
      <c r="AJ216" s="266"/>
    </row>
    <row r="217" spans="1:36">
      <c r="A217" s="266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364">
        <v>22</v>
      </c>
      <c r="M217" s="288">
        <v>1.5100000000000001E-2</v>
      </c>
      <c r="N217" s="289">
        <v>1.5100000000000001E-2</v>
      </c>
      <c r="O217" s="290">
        <v>0.20130000000000001</v>
      </c>
      <c r="P217" s="291">
        <v>0.1996</v>
      </c>
      <c r="Q217" s="292">
        <v>0.2021</v>
      </c>
      <c r="R217" s="293">
        <v>0.1862</v>
      </c>
      <c r="S217" s="295">
        <v>5.5151000000000003</v>
      </c>
      <c r="T217" s="266"/>
      <c r="U217" s="266"/>
      <c r="V217" s="266"/>
      <c r="W217" s="266"/>
      <c r="X217" s="327">
        <f t="shared" si="133"/>
        <v>144</v>
      </c>
      <c r="Y217" s="317">
        <v>20.707094444444444</v>
      </c>
      <c r="Z217" s="317">
        <v>20.891230555555556</v>
      </c>
      <c r="AA217" s="328"/>
      <c r="AB217" s="329">
        <f t="shared" ref="AB217" si="147">AB216+1</f>
        <v>144</v>
      </c>
      <c r="AC217" s="321">
        <v>5.4275000000000004E-2</v>
      </c>
      <c r="AD217" s="321">
        <v>5.2727777777777783E-2</v>
      </c>
      <c r="AE217" s="266"/>
      <c r="AF217" s="266"/>
      <c r="AG217" s="266"/>
      <c r="AH217" s="266"/>
      <c r="AI217" s="266"/>
      <c r="AJ217" s="266"/>
    </row>
    <row r="218" spans="1:36">
      <c r="A218" s="266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364">
        <v>23</v>
      </c>
      <c r="M218" s="288">
        <v>1.5699999999999999E-2</v>
      </c>
      <c r="N218" s="289">
        <v>1.5699999999999999E-2</v>
      </c>
      <c r="O218" s="290">
        <v>0.21049999999999999</v>
      </c>
      <c r="P218" s="291">
        <v>0.2087</v>
      </c>
      <c r="Q218" s="292">
        <v>0.21129999999999999</v>
      </c>
      <c r="R218" s="293">
        <v>0.19470000000000001</v>
      </c>
      <c r="S218" s="295">
        <v>5.7656999999999998</v>
      </c>
      <c r="T218" s="266"/>
      <c r="U218" s="266"/>
      <c r="V218" s="266"/>
      <c r="W218" s="266"/>
      <c r="X218" s="327">
        <f t="shared" si="133"/>
        <v>145</v>
      </c>
      <c r="Y218" s="317">
        <v>20.891230555555556</v>
      </c>
      <c r="Z218" s="317">
        <v>21.069372222222221</v>
      </c>
      <c r="AA218" s="328"/>
      <c r="AB218" s="329">
        <f t="shared" ref="AB218" si="148">AB217+1</f>
        <v>145</v>
      </c>
      <c r="AC218" s="321">
        <v>5.2727777777777783E-2</v>
      </c>
      <c r="AD218" s="321">
        <v>5.1038888888888891E-2</v>
      </c>
      <c r="AE218" s="266"/>
      <c r="AF218" s="266"/>
      <c r="AG218" s="266"/>
      <c r="AH218" s="266"/>
      <c r="AI218" s="266"/>
      <c r="AJ218" s="266"/>
    </row>
    <row r="219" spans="1:36">
      <c r="A219" s="266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364">
        <v>24</v>
      </c>
      <c r="M219" s="288">
        <v>1.6400000000000001E-2</v>
      </c>
      <c r="N219" s="289">
        <v>1.6400000000000001E-2</v>
      </c>
      <c r="O219" s="290">
        <v>0.21959999999999999</v>
      </c>
      <c r="P219" s="291">
        <v>0.2177</v>
      </c>
      <c r="Q219" s="292">
        <v>0.2205</v>
      </c>
      <c r="R219" s="293">
        <v>0.20319999999999999</v>
      </c>
      <c r="S219" s="295">
        <v>6.0164</v>
      </c>
      <c r="T219" s="266"/>
      <c r="U219" s="266"/>
      <c r="V219" s="266"/>
      <c r="W219" s="266"/>
      <c r="X219" s="327">
        <f t="shared" si="133"/>
        <v>146</v>
      </c>
      <c r="Y219" s="317">
        <v>21.069372222222221</v>
      </c>
      <c r="Z219" s="317">
        <v>21.241455555555557</v>
      </c>
      <c r="AA219" s="328"/>
      <c r="AB219" s="329">
        <f t="shared" ref="AB219" si="149">AB218+1</f>
        <v>146</v>
      </c>
      <c r="AC219" s="321">
        <v>5.1038888888888891E-2</v>
      </c>
      <c r="AD219" s="321">
        <v>4.9216666666666666E-2</v>
      </c>
      <c r="AE219" s="266"/>
      <c r="AF219" s="266"/>
      <c r="AG219" s="266"/>
      <c r="AH219" s="266"/>
      <c r="AI219" s="266"/>
      <c r="AJ219" s="266"/>
    </row>
    <row r="220" spans="1:36">
      <c r="A220" s="266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364">
        <v>25</v>
      </c>
      <c r="M220" s="288">
        <v>1.7100000000000001E-2</v>
      </c>
      <c r="N220" s="289">
        <v>1.7100000000000001E-2</v>
      </c>
      <c r="O220" s="290">
        <v>0.2288</v>
      </c>
      <c r="P220" s="291">
        <v>0.2268</v>
      </c>
      <c r="Q220" s="292">
        <v>0.22969999999999999</v>
      </c>
      <c r="R220" s="293">
        <v>0.21160000000000001</v>
      </c>
      <c r="S220" s="295">
        <v>6.2671000000000001</v>
      </c>
      <c r="T220" s="266"/>
      <c r="U220" s="266"/>
      <c r="V220" s="266"/>
      <c r="W220" s="266"/>
      <c r="X220" s="327">
        <f t="shared" si="133"/>
        <v>147</v>
      </c>
      <c r="Y220" s="317">
        <v>21.241455555555557</v>
      </c>
      <c r="Z220" s="317">
        <v>21.407419444444443</v>
      </c>
      <c r="AA220" s="328"/>
      <c r="AB220" s="329">
        <f t="shared" ref="AB220" si="150">AB219+1</f>
        <v>147</v>
      </c>
      <c r="AC220" s="321">
        <v>4.9216666666666666E-2</v>
      </c>
      <c r="AD220" s="321">
        <v>4.726388888888889E-2</v>
      </c>
      <c r="AE220" s="266"/>
      <c r="AF220" s="266"/>
      <c r="AG220" s="266"/>
      <c r="AH220" s="266"/>
      <c r="AI220" s="266"/>
      <c r="AJ220" s="266"/>
    </row>
    <row r="221" spans="1:36">
      <c r="A221" s="266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364">
        <v>26</v>
      </c>
      <c r="M221" s="288">
        <v>1.78E-2</v>
      </c>
      <c r="N221" s="289">
        <v>1.78E-2</v>
      </c>
      <c r="O221" s="290">
        <v>0.2379</v>
      </c>
      <c r="P221" s="291">
        <v>0.2359</v>
      </c>
      <c r="Q221" s="292">
        <v>0.2389</v>
      </c>
      <c r="R221" s="293">
        <v>0.22009999999999999</v>
      </c>
      <c r="S221" s="295">
        <v>6.5178000000000003</v>
      </c>
      <c r="T221" s="266"/>
      <c r="U221" s="266"/>
      <c r="V221" s="266"/>
      <c r="W221" s="266"/>
      <c r="X221" s="327">
        <f t="shared" si="133"/>
        <v>148</v>
      </c>
      <c r="Y221" s="317">
        <v>21.407419444444443</v>
      </c>
      <c r="Z221" s="317">
        <v>21.56721111111111</v>
      </c>
      <c r="AA221" s="328"/>
      <c r="AB221" s="329">
        <f t="shared" ref="AB221" si="151">AB220+1</f>
        <v>148</v>
      </c>
      <c r="AC221" s="321">
        <v>4.726388888888889E-2</v>
      </c>
      <c r="AD221" s="321">
        <v>4.5180555555555557E-2</v>
      </c>
      <c r="AE221" s="266"/>
      <c r="AF221" s="266"/>
      <c r="AG221" s="266"/>
      <c r="AH221" s="266"/>
      <c r="AI221" s="266"/>
      <c r="AJ221" s="266"/>
    </row>
    <row r="222" spans="1:36">
      <c r="A222" s="266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364">
        <v>27</v>
      </c>
      <c r="M222" s="288">
        <v>1.8499999999999999E-2</v>
      </c>
      <c r="N222" s="289">
        <v>1.8499999999999999E-2</v>
      </c>
      <c r="O222" s="290">
        <v>0.24709999999999999</v>
      </c>
      <c r="P222" s="291">
        <v>0.245</v>
      </c>
      <c r="Q222" s="292">
        <v>0.24809999999999999</v>
      </c>
      <c r="R222" s="293">
        <v>0.2286</v>
      </c>
      <c r="S222" s="295">
        <v>6.7685000000000004</v>
      </c>
      <c r="T222" s="266"/>
      <c r="U222" s="266"/>
      <c r="V222" s="266"/>
      <c r="W222" s="266"/>
      <c r="X222" s="327">
        <f t="shared" si="133"/>
        <v>149</v>
      </c>
      <c r="Y222" s="317">
        <v>21.56721111111111</v>
      </c>
      <c r="Z222" s="317">
        <v>21.720766666666666</v>
      </c>
      <c r="AA222" s="328"/>
      <c r="AB222" s="329">
        <f t="shared" ref="AB222" si="152">AB221+1</f>
        <v>149</v>
      </c>
      <c r="AC222" s="321">
        <v>4.5180555555555557E-2</v>
      </c>
      <c r="AD222" s="321">
        <v>4.2974999999999999E-2</v>
      </c>
      <c r="AE222" s="266"/>
      <c r="AF222" s="266"/>
      <c r="AG222" s="266"/>
      <c r="AH222" s="266"/>
      <c r="AI222" s="266"/>
      <c r="AJ222" s="266"/>
    </row>
    <row r="223" spans="1:36">
      <c r="A223" s="266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364">
        <v>28</v>
      </c>
      <c r="M223" s="288">
        <v>1.9199999999999998E-2</v>
      </c>
      <c r="N223" s="289">
        <v>1.9199999999999998E-2</v>
      </c>
      <c r="O223" s="290">
        <v>0.25619999999999998</v>
      </c>
      <c r="P223" s="291">
        <v>0.254</v>
      </c>
      <c r="Q223" s="292">
        <v>0.25719999999999998</v>
      </c>
      <c r="R223" s="293">
        <v>0.23699999999999999</v>
      </c>
      <c r="S223" s="295">
        <v>7.0191999999999997</v>
      </c>
      <c r="T223" s="266"/>
      <c r="U223" s="266"/>
      <c r="V223" s="266"/>
      <c r="W223" s="266"/>
      <c r="X223" s="327">
        <f t="shared" si="133"/>
        <v>150</v>
      </c>
      <c r="Y223" s="317">
        <v>21.720766666666666</v>
      </c>
      <c r="Z223" s="317">
        <v>21.868036111111113</v>
      </c>
      <c r="AA223" s="328"/>
      <c r="AB223" s="329">
        <f t="shared" ref="AB223" si="153">AB222+1</f>
        <v>150</v>
      </c>
      <c r="AC223" s="321">
        <v>4.2974999999999999E-2</v>
      </c>
      <c r="AD223" s="321">
        <v>4.0649999999999999E-2</v>
      </c>
      <c r="AE223" s="266"/>
      <c r="AF223" s="266"/>
      <c r="AG223" s="266"/>
      <c r="AH223" s="266"/>
      <c r="AI223" s="266"/>
      <c r="AJ223" s="266"/>
    </row>
    <row r="224" spans="1:36">
      <c r="A224" s="266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364">
        <v>29</v>
      </c>
      <c r="M224" s="288">
        <v>1.9800000000000002E-2</v>
      </c>
      <c r="N224" s="289">
        <v>1.9800000000000002E-2</v>
      </c>
      <c r="O224" s="290">
        <v>0.26540000000000002</v>
      </c>
      <c r="P224" s="291">
        <v>0.2631</v>
      </c>
      <c r="Q224" s="292">
        <v>0.26640000000000003</v>
      </c>
      <c r="R224" s="293">
        <v>0.2455</v>
      </c>
      <c r="S224" s="295">
        <v>7.2698</v>
      </c>
      <c r="T224" s="266"/>
      <c r="U224" s="266"/>
      <c r="V224" s="266"/>
      <c r="W224" s="266"/>
      <c r="X224" s="327">
        <f t="shared" si="133"/>
        <v>151</v>
      </c>
      <c r="Y224" s="317">
        <v>21.868036111111113</v>
      </c>
      <c r="Z224" s="317">
        <v>22.008966666666666</v>
      </c>
      <c r="AA224" s="328"/>
      <c r="AB224" s="329">
        <f t="shared" ref="AB224" si="154">AB223+1</f>
        <v>151</v>
      </c>
      <c r="AC224" s="321">
        <v>4.0649999999999999E-2</v>
      </c>
      <c r="AD224" s="321">
        <v>3.8205555555555555E-2</v>
      </c>
      <c r="AE224" s="266"/>
      <c r="AF224" s="266"/>
      <c r="AG224" s="266"/>
      <c r="AH224" s="266"/>
      <c r="AI224" s="266"/>
      <c r="AJ224" s="266"/>
    </row>
    <row r="225" spans="1:36">
      <c r="A225" s="266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364">
        <v>30</v>
      </c>
      <c r="M225" s="288">
        <v>2.0500000000000001E-2</v>
      </c>
      <c r="N225" s="289">
        <v>2.0500000000000001E-2</v>
      </c>
      <c r="O225" s="290">
        <v>0.27450000000000002</v>
      </c>
      <c r="P225" s="291">
        <v>0.2722</v>
      </c>
      <c r="Q225" s="292">
        <v>0.27560000000000001</v>
      </c>
      <c r="R225" s="293">
        <v>0.254</v>
      </c>
      <c r="S225" s="295">
        <v>7.5205000000000002</v>
      </c>
      <c r="T225" s="266"/>
      <c r="U225" s="266"/>
      <c r="V225" s="266"/>
      <c r="W225" s="266"/>
      <c r="X225" s="327">
        <f t="shared" si="133"/>
        <v>152</v>
      </c>
      <c r="Y225" s="317">
        <v>22.008966666666666</v>
      </c>
      <c r="Z225" s="317">
        <v>22.143508333333333</v>
      </c>
      <c r="AA225" s="328"/>
      <c r="AB225" s="329">
        <f t="shared" ref="AB225" si="155">AB224+1</f>
        <v>152</v>
      </c>
      <c r="AC225" s="321">
        <v>3.8205555555555555E-2</v>
      </c>
      <c r="AD225" s="321">
        <v>3.5652777777777776E-2</v>
      </c>
      <c r="AE225" s="266"/>
      <c r="AF225" s="266"/>
      <c r="AG225" s="266"/>
      <c r="AH225" s="266"/>
      <c r="AI225" s="266"/>
      <c r="AJ225" s="266"/>
    </row>
    <row r="226" spans="1:36">
      <c r="A226" s="266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364">
        <v>31</v>
      </c>
      <c r="M226" s="288">
        <v>2.12E-2</v>
      </c>
      <c r="N226" s="289">
        <v>2.12E-2</v>
      </c>
      <c r="O226" s="290">
        <v>0.28370000000000001</v>
      </c>
      <c r="P226" s="291">
        <v>0.28129999999999999</v>
      </c>
      <c r="Q226" s="292">
        <v>0.2848</v>
      </c>
      <c r="R226" s="293">
        <v>0.26240000000000002</v>
      </c>
      <c r="S226" s="295">
        <v>7.7712000000000003</v>
      </c>
      <c r="T226" s="266"/>
      <c r="U226" s="266"/>
      <c r="V226" s="266"/>
      <c r="W226" s="266"/>
      <c r="X226" s="327">
        <f t="shared" si="133"/>
        <v>153</v>
      </c>
      <c r="Y226" s="317">
        <v>22.143508333333333</v>
      </c>
      <c r="Z226" s="317">
        <v>22.27161111111111</v>
      </c>
      <c r="AA226" s="328"/>
      <c r="AB226" s="329">
        <f t="shared" ref="AB226" si="156">AB225+1</f>
        <v>153</v>
      </c>
      <c r="AC226" s="321">
        <v>3.5652777777777776E-2</v>
      </c>
      <c r="AD226" s="321">
        <v>3.2991666666666669E-2</v>
      </c>
      <c r="AE226" s="266"/>
      <c r="AF226" s="266"/>
      <c r="AG226" s="266"/>
      <c r="AH226" s="266"/>
      <c r="AI226" s="266"/>
      <c r="AJ226" s="266"/>
    </row>
    <row r="227" spans="1:36">
      <c r="A227" s="266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364">
        <v>32</v>
      </c>
      <c r="M227" s="288">
        <v>2.1899999999999999E-2</v>
      </c>
      <c r="N227" s="289">
        <v>2.1899999999999999E-2</v>
      </c>
      <c r="O227" s="290">
        <v>0.2928</v>
      </c>
      <c r="P227" s="291">
        <v>0.2903</v>
      </c>
      <c r="Q227" s="292">
        <v>0.29399999999999998</v>
      </c>
      <c r="R227" s="293">
        <v>0.27089999999999997</v>
      </c>
      <c r="S227" s="295">
        <v>8.0219000000000005</v>
      </c>
      <c r="T227" s="266"/>
      <c r="U227" s="266"/>
      <c r="V227" s="266"/>
      <c r="W227" s="266"/>
      <c r="X227" s="327">
        <f t="shared" si="133"/>
        <v>154</v>
      </c>
      <c r="Y227" s="317">
        <v>22.27161111111111</v>
      </c>
      <c r="Z227" s="317">
        <v>22.393227777777778</v>
      </c>
      <c r="AA227" s="328"/>
      <c r="AB227" s="329">
        <f t="shared" ref="AB227" si="157">AB226+1</f>
        <v>154</v>
      </c>
      <c r="AC227" s="321">
        <v>3.2991666666666669E-2</v>
      </c>
      <c r="AD227" s="321">
        <v>3.0227777777777777E-2</v>
      </c>
      <c r="AE227" s="266"/>
      <c r="AF227" s="266"/>
      <c r="AG227" s="266"/>
      <c r="AH227" s="266"/>
      <c r="AI227" s="266"/>
      <c r="AJ227" s="266"/>
    </row>
    <row r="228" spans="1:36">
      <c r="A228" s="266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364">
        <v>33</v>
      </c>
      <c r="M228" s="288">
        <v>2.2599999999999999E-2</v>
      </c>
      <c r="N228" s="289">
        <v>2.2599999999999999E-2</v>
      </c>
      <c r="O228" s="290">
        <v>0.30199999999999999</v>
      </c>
      <c r="P228" s="291">
        <v>0.2994</v>
      </c>
      <c r="Q228" s="292">
        <v>0.30320000000000003</v>
      </c>
      <c r="R228" s="293">
        <v>0.27939999999999998</v>
      </c>
      <c r="S228" s="295">
        <v>8.2726000000000006</v>
      </c>
      <c r="T228" s="266"/>
      <c r="U228" s="266"/>
      <c r="V228" s="266"/>
      <c r="W228" s="266"/>
      <c r="X228" s="327">
        <f t="shared" si="133"/>
        <v>155</v>
      </c>
      <c r="Y228" s="317">
        <v>22.393227777777778</v>
      </c>
      <c r="Z228" s="317">
        <v>22.508319444444446</v>
      </c>
      <c r="AA228" s="328"/>
      <c r="AB228" s="329">
        <f t="shared" ref="AB228" si="158">AB227+1</f>
        <v>155</v>
      </c>
      <c r="AC228" s="321">
        <v>3.0227777777777777E-2</v>
      </c>
      <c r="AD228" s="321">
        <v>2.7366666666666668E-2</v>
      </c>
      <c r="AE228" s="266"/>
      <c r="AF228" s="266"/>
      <c r="AG228" s="266"/>
      <c r="AH228" s="266"/>
      <c r="AI228" s="266"/>
      <c r="AJ228" s="266"/>
    </row>
    <row r="229" spans="1:36">
      <c r="A229" s="266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364">
        <v>34</v>
      </c>
      <c r="M229" s="288">
        <v>2.3300000000000001E-2</v>
      </c>
      <c r="N229" s="289">
        <v>2.3300000000000001E-2</v>
      </c>
      <c r="O229" s="290">
        <v>0.31109999999999999</v>
      </c>
      <c r="P229" s="291">
        <v>0.3085</v>
      </c>
      <c r="Q229" s="292">
        <v>0.31240000000000001</v>
      </c>
      <c r="R229" s="293">
        <v>0.2878</v>
      </c>
      <c r="S229" s="295">
        <v>8.5233000000000008</v>
      </c>
      <c r="T229" s="266"/>
      <c r="U229" s="266"/>
      <c r="V229" s="266"/>
      <c r="W229" s="266"/>
      <c r="X229" s="327">
        <f t="shared" si="133"/>
        <v>156</v>
      </c>
      <c r="Y229" s="317">
        <v>22.508319444444446</v>
      </c>
      <c r="Z229" s="317">
        <v>22.616841666666666</v>
      </c>
      <c r="AA229" s="328"/>
      <c r="AB229" s="329">
        <f t="shared" ref="AB229" si="159">AB228+1</f>
        <v>156</v>
      </c>
      <c r="AC229" s="321">
        <v>2.7366666666666668E-2</v>
      </c>
      <c r="AD229" s="321">
        <v>2.4413888888888888E-2</v>
      </c>
      <c r="AE229" s="266"/>
      <c r="AF229" s="266"/>
      <c r="AG229" s="266"/>
      <c r="AH229" s="266"/>
      <c r="AI229" s="266"/>
      <c r="AJ229" s="266"/>
    </row>
    <row r="230" spans="1:36">
      <c r="A230" s="266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364">
        <v>35</v>
      </c>
      <c r="M230" s="288">
        <v>2.4E-2</v>
      </c>
      <c r="N230" s="289">
        <v>2.4E-2</v>
      </c>
      <c r="O230" s="290">
        <v>0.32029999999999997</v>
      </c>
      <c r="P230" s="291">
        <v>0.31759999999999999</v>
      </c>
      <c r="Q230" s="292">
        <v>0.32150000000000001</v>
      </c>
      <c r="R230" s="293">
        <v>0.29630000000000001</v>
      </c>
      <c r="S230" s="295">
        <v>8.7739999999999991</v>
      </c>
      <c r="T230" s="266"/>
      <c r="U230" s="266"/>
      <c r="V230" s="266"/>
      <c r="W230" s="266"/>
      <c r="X230" s="327">
        <f t="shared" si="133"/>
        <v>157</v>
      </c>
      <c r="Y230" s="317">
        <v>22.616841666666666</v>
      </c>
      <c r="Z230" s="317">
        <v>22.718752777777777</v>
      </c>
      <c r="AA230" s="328"/>
      <c r="AB230" s="329">
        <f t="shared" ref="AB230" si="160">AB229+1</f>
        <v>157</v>
      </c>
      <c r="AC230" s="321">
        <v>2.4413888888888888E-2</v>
      </c>
      <c r="AD230" s="321">
        <v>2.1374999999999998E-2</v>
      </c>
      <c r="AE230" s="266"/>
      <c r="AF230" s="266"/>
      <c r="AG230" s="266"/>
      <c r="AH230" s="266"/>
      <c r="AI230" s="266"/>
      <c r="AJ230" s="266"/>
    </row>
    <row r="231" spans="1:36">
      <c r="A231" s="266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364">
        <v>36</v>
      </c>
      <c r="M231" s="288">
        <v>2.46E-2</v>
      </c>
      <c r="N231" s="289">
        <v>2.46E-2</v>
      </c>
      <c r="O231" s="290">
        <v>0.32940000000000003</v>
      </c>
      <c r="P231" s="291">
        <v>0.3266</v>
      </c>
      <c r="Q231" s="292">
        <v>0.33069999999999999</v>
      </c>
      <c r="R231" s="293">
        <v>0.30480000000000002</v>
      </c>
      <c r="S231" s="295">
        <v>9.0245999999999995</v>
      </c>
      <c r="T231" s="266"/>
      <c r="U231" s="266"/>
      <c r="V231" s="266"/>
      <c r="W231" s="266"/>
      <c r="X231" s="327">
        <f t="shared" si="133"/>
        <v>158</v>
      </c>
      <c r="Y231" s="317">
        <v>22.718752777777777</v>
      </c>
      <c r="Z231" s="317">
        <v>22.814022222222224</v>
      </c>
      <c r="AA231" s="328"/>
      <c r="AB231" s="329">
        <f t="shared" ref="AB231" si="161">AB230+1</f>
        <v>158</v>
      </c>
      <c r="AC231" s="321">
        <v>2.1374999999999998E-2</v>
      </c>
      <c r="AD231" s="321">
        <v>1.8252777777777777E-2</v>
      </c>
      <c r="AE231" s="266"/>
      <c r="AF231" s="266"/>
      <c r="AG231" s="266"/>
      <c r="AH231" s="266"/>
      <c r="AI231" s="266"/>
      <c r="AJ231" s="266"/>
    </row>
    <row r="232" spans="1:36">
      <c r="A232" s="266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364">
        <v>37</v>
      </c>
      <c r="M232" s="288">
        <v>2.53E-2</v>
      </c>
      <c r="N232" s="289">
        <v>2.53E-2</v>
      </c>
      <c r="O232" s="290">
        <v>0.33860000000000001</v>
      </c>
      <c r="P232" s="291">
        <v>0.3357</v>
      </c>
      <c r="Q232" s="292">
        <v>0.33989999999999998</v>
      </c>
      <c r="R232" s="293">
        <v>0.31319999999999998</v>
      </c>
      <c r="S232" s="295">
        <v>9.2752999999999997</v>
      </c>
      <c r="T232" s="266"/>
      <c r="U232" s="266"/>
      <c r="V232" s="266"/>
      <c r="W232" s="266"/>
      <c r="X232" s="327">
        <f t="shared" si="133"/>
        <v>159</v>
      </c>
      <c r="Y232" s="317">
        <v>22.814022222222224</v>
      </c>
      <c r="Z232" s="317">
        <v>22.90261111111111</v>
      </c>
      <c r="AA232" s="328"/>
      <c r="AB232" s="329">
        <f t="shared" ref="AB232" si="162">AB231+1</f>
        <v>159</v>
      </c>
      <c r="AC232" s="321">
        <v>1.8252777777777777E-2</v>
      </c>
      <c r="AD232" s="321">
        <v>1.5055555555555556E-2</v>
      </c>
      <c r="AE232" s="266"/>
      <c r="AF232" s="266"/>
      <c r="AG232" s="266"/>
      <c r="AH232" s="266"/>
      <c r="AI232" s="266"/>
      <c r="AJ232" s="266"/>
    </row>
    <row r="233" spans="1:36">
      <c r="A233" s="266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364">
        <v>38</v>
      </c>
      <c r="M233" s="288">
        <v>2.5999999999999999E-2</v>
      </c>
      <c r="N233" s="289">
        <v>2.5999999999999999E-2</v>
      </c>
      <c r="O233" s="290">
        <v>0.34770000000000001</v>
      </c>
      <c r="P233" s="291">
        <v>0.3448</v>
      </c>
      <c r="Q233" s="292">
        <v>0.34910000000000002</v>
      </c>
      <c r="R233" s="293">
        <v>0.32169999999999999</v>
      </c>
      <c r="S233" s="295">
        <v>9.5259999999999998</v>
      </c>
      <c r="T233" s="266"/>
      <c r="U233" s="266"/>
      <c r="V233" s="266"/>
      <c r="W233" s="266"/>
      <c r="X233" s="327">
        <f t="shared" si="133"/>
        <v>160</v>
      </c>
      <c r="Y233" s="317">
        <v>22.90261111111111</v>
      </c>
      <c r="Z233" s="317">
        <v>22.984486111111114</v>
      </c>
      <c r="AA233" s="328"/>
      <c r="AB233" s="329">
        <f t="shared" ref="AB233" si="163">AB232+1</f>
        <v>160</v>
      </c>
      <c r="AC233" s="321">
        <v>1.5055555555555556E-2</v>
      </c>
      <c r="AD233" s="321">
        <v>1.1788888888888889E-2</v>
      </c>
      <c r="AE233" s="266"/>
      <c r="AF233" s="266"/>
      <c r="AG233" s="266"/>
      <c r="AH233" s="266"/>
      <c r="AI233" s="266"/>
      <c r="AJ233" s="266"/>
    </row>
    <row r="234" spans="1:36">
      <c r="A234" s="266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364">
        <v>39</v>
      </c>
      <c r="M234" s="288">
        <v>2.6700000000000002E-2</v>
      </c>
      <c r="N234" s="289">
        <v>2.6700000000000002E-2</v>
      </c>
      <c r="O234" s="290">
        <v>0.3569</v>
      </c>
      <c r="P234" s="291">
        <v>0.3538</v>
      </c>
      <c r="Q234" s="292">
        <v>0.35830000000000001</v>
      </c>
      <c r="R234" s="293">
        <v>0.33019999999999999</v>
      </c>
      <c r="S234" s="295">
        <v>9.7766999999999999</v>
      </c>
      <c r="T234" s="266"/>
      <c r="U234" s="266"/>
      <c r="V234" s="266"/>
      <c r="W234" s="266"/>
      <c r="X234" s="327">
        <f t="shared" si="133"/>
        <v>161</v>
      </c>
      <c r="Y234" s="317">
        <v>22.984486111111114</v>
      </c>
      <c r="Z234" s="317">
        <v>23.059622222222224</v>
      </c>
      <c r="AA234" s="328"/>
      <c r="AB234" s="329">
        <f t="shared" ref="AB234" si="164">AB233+1</f>
        <v>161</v>
      </c>
      <c r="AC234" s="321">
        <v>1.1788888888888889E-2</v>
      </c>
      <c r="AD234" s="321">
        <v>8.4583333333333333E-3</v>
      </c>
      <c r="AE234" s="266"/>
      <c r="AF234" s="266"/>
      <c r="AG234" s="266"/>
      <c r="AH234" s="266"/>
      <c r="AI234" s="266"/>
      <c r="AJ234" s="266"/>
    </row>
    <row r="235" spans="1:36">
      <c r="A235" s="266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364">
        <v>40</v>
      </c>
      <c r="M235" s="288">
        <v>2.7400000000000001E-2</v>
      </c>
      <c r="N235" s="289">
        <v>2.7400000000000001E-2</v>
      </c>
      <c r="O235" s="290">
        <v>0.36599999999999999</v>
      </c>
      <c r="P235" s="291">
        <v>0.3629</v>
      </c>
      <c r="Q235" s="292">
        <v>0.36749999999999999</v>
      </c>
      <c r="R235" s="293">
        <v>0.33860000000000001</v>
      </c>
      <c r="S235" s="295">
        <v>10.0274</v>
      </c>
      <c r="T235" s="266"/>
      <c r="U235" s="266"/>
      <c r="V235" s="266"/>
      <c r="W235" s="266"/>
      <c r="X235" s="327">
        <f t="shared" si="133"/>
        <v>162</v>
      </c>
      <c r="Y235" s="317">
        <v>23.059622222222224</v>
      </c>
      <c r="Z235" s="317">
        <v>23.127991666666667</v>
      </c>
      <c r="AA235" s="328"/>
      <c r="AB235" s="329">
        <f t="shared" ref="AB235" si="165">AB234+1</f>
        <v>162</v>
      </c>
      <c r="AC235" s="321">
        <v>8.4583333333333333E-3</v>
      </c>
      <c r="AD235" s="321">
        <v>5.0666666666666664E-3</v>
      </c>
      <c r="AE235" s="266"/>
      <c r="AF235" s="266"/>
      <c r="AG235" s="266"/>
      <c r="AH235" s="266"/>
      <c r="AI235" s="266"/>
      <c r="AJ235" s="266"/>
    </row>
    <row r="236" spans="1:36">
      <c r="A236" s="266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364">
        <v>41</v>
      </c>
      <c r="M236" s="288">
        <v>2.81E-2</v>
      </c>
      <c r="N236" s="289">
        <v>2.81E-2</v>
      </c>
      <c r="O236" s="290">
        <v>0.37519999999999998</v>
      </c>
      <c r="P236" s="291">
        <v>0.372</v>
      </c>
      <c r="Q236" s="292">
        <v>0.37669999999999998</v>
      </c>
      <c r="R236" s="293">
        <v>0.34710000000000002</v>
      </c>
      <c r="S236" s="295">
        <v>10.2781</v>
      </c>
      <c r="T236" s="266"/>
      <c r="U236" s="266"/>
      <c r="V236" s="266"/>
      <c r="W236" s="266"/>
      <c r="X236" s="327">
        <f t="shared" si="133"/>
        <v>163</v>
      </c>
      <c r="Y236" s="317">
        <v>23.127991666666667</v>
      </c>
      <c r="Z236" s="317">
        <v>23.189566666666668</v>
      </c>
      <c r="AA236" s="328"/>
      <c r="AB236" s="329">
        <f t="shared" ref="AB236" si="166">AB235+1</f>
        <v>163</v>
      </c>
      <c r="AC236" s="321">
        <v>5.0666666666666664E-3</v>
      </c>
      <c r="AD236" s="321">
        <v>1.6249999999999999E-3</v>
      </c>
      <c r="AE236" s="266"/>
      <c r="AF236" s="266"/>
      <c r="AG236" s="266"/>
      <c r="AH236" s="266"/>
      <c r="AI236" s="266"/>
      <c r="AJ236" s="266"/>
    </row>
    <row r="237" spans="1:36">
      <c r="A237" s="266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364">
        <v>42</v>
      </c>
      <c r="M237" s="288">
        <v>2.87E-2</v>
      </c>
      <c r="N237" s="289">
        <v>2.87E-2</v>
      </c>
      <c r="O237" s="290">
        <v>0.38429999999999997</v>
      </c>
      <c r="P237" s="291">
        <v>0.38109999999999999</v>
      </c>
      <c r="Q237" s="292">
        <v>0.38590000000000002</v>
      </c>
      <c r="R237" s="293">
        <v>0.35560000000000003</v>
      </c>
      <c r="S237" s="295">
        <v>10.528700000000001</v>
      </c>
      <c r="T237" s="266"/>
      <c r="U237" s="266"/>
      <c r="V237" s="266"/>
      <c r="W237" s="266"/>
      <c r="X237" s="327">
        <f t="shared" si="133"/>
        <v>164</v>
      </c>
      <c r="Y237" s="317">
        <v>23.189566666666668</v>
      </c>
      <c r="Z237" s="317">
        <v>23.244330555555557</v>
      </c>
      <c r="AA237" s="328"/>
      <c r="AB237" s="329">
        <f t="shared" ref="AB237" si="167">AB236+1</f>
        <v>164</v>
      </c>
      <c r="AC237" s="321">
        <v>1.6249999999999999E-3</v>
      </c>
      <c r="AD237" s="321">
        <v>-1.8638888888888889E-3</v>
      </c>
      <c r="AE237" s="266"/>
      <c r="AF237" s="266"/>
      <c r="AG237" s="266"/>
      <c r="AH237" s="266"/>
      <c r="AI237" s="266"/>
      <c r="AJ237" s="266"/>
    </row>
    <row r="238" spans="1:36">
      <c r="A238" s="266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364">
        <v>43</v>
      </c>
      <c r="M238" s="288">
        <v>2.9399999999999999E-2</v>
      </c>
      <c r="N238" s="289">
        <v>2.9399999999999999E-2</v>
      </c>
      <c r="O238" s="290">
        <v>0.39350000000000002</v>
      </c>
      <c r="P238" s="291">
        <v>0.3901</v>
      </c>
      <c r="Q238" s="292">
        <v>0.39500000000000002</v>
      </c>
      <c r="R238" s="293">
        <v>0.36399999999999999</v>
      </c>
      <c r="S238" s="295">
        <v>10.779400000000001</v>
      </c>
      <c r="T238" s="266"/>
      <c r="U238" s="266"/>
      <c r="V238" s="266"/>
      <c r="W238" s="266"/>
      <c r="X238" s="327">
        <f t="shared" si="133"/>
        <v>165</v>
      </c>
      <c r="Y238" s="317">
        <v>23.244330555555557</v>
      </c>
      <c r="Z238" s="317">
        <v>23.292261111111113</v>
      </c>
      <c r="AA238" s="328"/>
      <c r="AB238" s="329">
        <f t="shared" ref="AB238" si="168">AB237+1</f>
        <v>165</v>
      </c>
      <c r="AC238" s="321">
        <v>-1.8638888888888889E-3</v>
      </c>
      <c r="AD238" s="321">
        <v>-5.391666666666667E-3</v>
      </c>
      <c r="AE238" s="266"/>
      <c r="AF238" s="266"/>
      <c r="AG238" s="266"/>
      <c r="AH238" s="266"/>
      <c r="AI238" s="266"/>
      <c r="AJ238" s="266"/>
    </row>
    <row r="239" spans="1:36">
      <c r="A239" s="266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364">
        <v>44</v>
      </c>
      <c r="M239" s="288">
        <v>3.0099999999999998E-2</v>
      </c>
      <c r="N239" s="289">
        <v>3.0099999999999998E-2</v>
      </c>
      <c r="O239" s="290">
        <v>0.40260000000000001</v>
      </c>
      <c r="P239" s="291">
        <v>0.3992</v>
      </c>
      <c r="Q239" s="292">
        <v>0.4042</v>
      </c>
      <c r="R239" s="293">
        <v>0.3725</v>
      </c>
      <c r="S239" s="295">
        <v>11.030099999999999</v>
      </c>
      <c r="T239" s="266"/>
      <c r="U239" s="266"/>
      <c r="V239" s="266"/>
      <c r="W239" s="266"/>
      <c r="X239" s="327">
        <f t="shared" si="133"/>
        <v>166</v>
      </c>
      <c r="Y239" s="317">
        <v>23.292261111111113</v>
      </c>
      <c r="Z239" s="317">
        <v>23.333341666666666</v>
      </c>
      <c r="AA239" s="328"/>
      <c r="AB239" s="329">
        <f t="shared" ref="AB239" si="169">AB238+1</f>
        <v>166</v>
      </c>
      <c r="AC239" s="321">
        <v>-5.391666666666667E-3</v>
      </c>
      <c r="AD239" s="321">
        <v>-8.9527777777777765E-3</v>
      </c>
      <c r="AE239" s="266"/>
      <c r="AF239" s="266"/>
      <c r="AG239" s="266"/>
      <c r="AH239" s="266"/>
      <c r="AI239" s="266"/>
      <c r="AJ239" s="266"/>
    </row>
    <row r="240" spans="1:36">
      <c r="A240" s="266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364">
        <v>45</v>
      </c>
      <c r="M240" s="288">
        <v>3.0800000000000001E-2</v>
      </c>
      <c r="N240" s="289">
        <v>3.0800000000000001E-2</v>
      </c>
      <c r="O240" s="290">
        <v>0.4118</v>
      </c>
      <c r="P240" s="291">
        <v>0.4083</v>
      </c>
      <c r="Q240" s="292">
        <v>0.41339999999999999</v>
      </c>
      <c r="R240" s="293">
        <v>0.38100000000000001</v>
      </c>
      <c r="S240" s="295">
        <v>11.280799999999999</v>
      </c>
      <c r="T240" s="266"/>
      <c r="U240" s="266"/>
      <c r="V240" s="266"/>
      <c r="W240" s="266"/>
      <c r="X240" s="327">
        <f t="shared" si="133"/>
        <v>167</v>
      </c>
      <c r="Y240" s="317">
        <v>23.333341666666666</v>
      </c>
      <c r="Z240" s="317">
        <v>23.367561111111112</v>
      </c>
      <c r="AA240" s="328"/>
      <c r="AB240" s="329">
        <f t="shared" ref="AB240" si="170">AB239+1</f>
        <v>167</v>
      </c>
      <c r="AC240" s="321">
        <v>-8.9527777777777765E-3</v>
      </c>
      <c r="AD240" s="321">
        <v>-1.2538888888888889E-2</v>
      </c>
      <c r="AE240" s="266"/>
      <c r="AF240" s="266"/>
      <c r="AG240" s="266"/>
      <c r="AH240" s="266"/>
      <c r="AI240" s="266"/>
      <c r="AJ240" s="266"/>
    </row>
    <row r="241" spans="1:36">
      <c r="A241" s="266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364">
        <v>46</v>
      </c>
      <c r="M241" s="288">
        <v>3.15E-2</v>
      </c>
      <c r="N241" s="289">
        <v>3.15E-2</v>
      </c>
      <c r="O241" s="290">
        <v>0.4209</v>
      </c>
      <c r="P241" s="291">
        <v>0.41739999999999999</v>
      </c>
      <c r="Q241" s="292">
        <v>0.42259999999999998</v>
      </c>
      <c r="R241" s="293">
        <v>0.38940000000000002</v>
      </c>
      <c r="S241" s="295">
        <v>11.531499999999999</v>
      </c>
      <c r="T241" s="266"/>
      <c r="U241" s="266"/>
      <c r="V241" s="266"/>
      <c r="W241" s="266"/>
      <c r="X241" s="327">
        <f t="shared" si="133"/>
        <v>168</v>
      </c>
      <c r="Y241" s="317">
        <v>23.367561111111112</v>
      </c>
      <c r="Z241" s="317">
        <v>23.394908333333333</v>
      </c>
      <c r="AA241" s="328"/>
      <c r="AB241" s="329">
        <f t="shared" ref="AB241" si="171">AB240+1</f>
        <v>168</v>
      </c>
      <c r="AC241" s="321">
        <v>-1.2538888888888889E-2</v>
      </c>
      <c r="AD241" s="321">
        <v>-1.6147222222222223E-2</v>
      </c>
      <c r="AE241" s="266"/>
      <c r="AF241" s="266"/>
      <c r="AG241" s="266"/>
      <c r="AH241" s="266"/>
      <c r="AI241" s="266"/>
      <c r="AJ241" s="266"/>
    </row>
    <row r="242" spans="1:36">
      <c r="A242" s="266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364">
        <v>47</v>
      </c>
      <c r="M242" s="288">
        <v>3.2199999999999999E-2</v>
      </c>
      <c r="N242" s="289">
        <v>3.2199999999999999E-2</v>
      </c>
      <c r="O242" s="290">
        <v>0.43009999999999998</v>
      </c>
      <c r="P242" s="291">
        <v>0.4264</v>
      </c>
      <c r="Q242" s="292">
        <v>0.43180000000000002</v>
      </c>
      <c r="R242" s="293">
        <v>0.39789999999999998</v>
      </c>
      <c r="S242" s="295">
        <v>11.7822</v>
      </c>
      <c r="T242" s="266"/>
      <c r="U242" s="266"/>
      <c r="V242" s="266"/>
      <c r="W242" s="266"/>
      <c r="X242" s="327">
        <f t="shared" si="133"/>
        <v>169</v>
      </c>
      <c r="Y242" s="317">
        <v>23.394908333333333</v>
      </c>
      <c r="Z242" s="317">
        <v>23.415372222222221</v>
      </c>
      <c r="AA242" s="328"/>
      <c r="AB242" s="329">
        <f t="shared" ref="AB242" si="172">AB241+1</f>
        <v>169</v>
      </c>
      <c r="AC242" s="321">
        <v>-1.6147222222222223E-2</v>
      </c>
      <c r="AD242" s="321">
        <v>-1.9769444444444444E-2</v>
      </c>
      <c r="AE242" s="266"/>
      <c r="AF242" s="266"/>
      <c r="AG242" s="266"/>
      <c r="AH242" s="266"/>
      <c r="AI242" s="266"/>
      <c r="AJ242" s="266"/>
    </row>
    <row r="243" spans="1:36">
      <c r="A243" s="266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364">
        <v>48</v>
      </c>
      <c r="M243" s="288">
        <v>3.2899999999999999E-2</v>
      </c>
      <c r="N243" s="289">
        <v>3.2899999999999999E-2</v>
      </c>
      <c r="O243" s="290">
        <v>0.43919999999999998</v>
      </c>
      <c r="P243" s="291">
        <v>0.4355</v>
      </c>
      <c r="Q243" s="292">
        <v>0.441</v>
      </c>
      <c r="R243" s="293">
        <v>0.40639999999999998</v>
      </c>
      <c r="S243" s="295">
        <v>12.0329</v>
      </c>
      <c r="T243" s="266"/>
      <c r="U243" s="266"/>
      <c r="V243" s="266"/>
      <c r="W243" s="266"/>
      <c r="X243" s="327">
        <f t="shared" si="133"/>
        <v>170</v>
      </c>
      <c r="Y243" s="317">
        <v>23.415372222222221</v>
      </c>
      <c r="Z243" s="317">
        <v>23.428952777777781</v>
      </c>
      <c r="AA243" s="328"/>
      <c r="AB243" s="329">
        <f t="shared" ref="AB243" si="173">AB242+1</f>
        <v>170</v>
      </c>
      <c r="AC243" s="321">
        <v>-1.9769444444444444E-2</v>
      </c>
      <c r="AD243" s="321">
        <v>-2.3399999999999997E-2</v>
      </c>
      <c r="AE243" s="266"/>
      <c r="AF243" s="266"/>
      <c r="AG243" s="266"/>
      <c r="AH243" s="266"/>
      <c r="AI243" s="266"/>
      <c r="AJ243" s="266"/>
    </row>
    <row r="244" spans="1:36">
      <c r="A244" s="266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364">
        <v>49</v>
      </c>
      <c r="M244" s="288">
        <v>3.3500000000000002E-2</v>
      </c>
      <c r="N244" s="289">
        <v>3.3500000000000002E-2</v>
      </c>
      <c r="O244" s="290">
        <v>0.44840000000000002</v>
      </c>
      <c r="P244" s="291">
        <v>0.4446</v>
      </c>
      <c r="Q244" s="292">
        <v>0.45019999999999999</v>
      </c>
      <c r="R244" s="293">
        <v>0.4148</v>
      </c>
      <c r="S244" s="295">
        <v>12.2835</v>
      </c>
      <c r="T244" s="266"/>
      <c r="U244" s="266"/>
      <c r="V244" s="266"/>
      <c r="W244" s="266"/>
      <c r="X244" s="327">
        <f t="shared" si="133"/>
        <v>171</v>
      </c>
      <c r="Y244" s="317">
        <v>23.428952777777781</v>
      </c>
      <c r="Z244" s="317">
        <v>23.435638888888889</v>
      </c>
      <c r="AA244" s="328"/>
      <c r="AB244" s="329">
        <f t="shared" ref="AB244" si="174">AB243+1</f>
        <v>171</v>
      </c>
      <c r="AC244" s="321">
        <v>-2.3399999999999997E-2</v>
      </c>
      <c r="AD244" s="321">
        <v>-2.7030555555555558E-2</v>
      </c>
      <c r="AE244" s="266"/>
      <c r="AF244" s="266"/>
      <c r="AG244" s="266"/>
      <c r="AH244" s="266"/>
      <c r="AI244" s="266"/>
      <c r="AJ244" s="266"/>
    </row>
    <row r="245" spans="1:36">
      <c r="A245" s="266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364">
        <v>50</v>
      </c>
      <c r="M245" s="288">
        <v>3.4200000000000001E-2</v>
      </c>
      <c r="N245" s="289">
        <v>3.4200000000000001E-2</v>
      </c>
      <c r="O245" s="290">
        <v>0.45750000000000002</v>
      </c>
      <c r="P245" s="291">
        <v>0.4536</v>
      </c>
      <c r="Q245" s="292">
        <v>0.45939999999999998</v>
      </c>
      <c r="R245" s="293">
        <v>0.42330000000000001</v>
      </c>
      <c r="S245" s="295">
        <v>12.5342</v>
      </c>
      <c r="T245" s="266"/>
      <c r="U245" s="266"/>
      <c r="V245" s="266"/>
      <c r="W245" s="266"/>
      <c r="X245" s="327">
        <f t="shared" si="133"/>
        <v>172</v>
      </c>
      <c r="Y245" s="317">
        <v>23.435638888888889</v>
      </c>
      <c r="Z245" s="317">
        <v>23.435438888888889</v>
      </c>
      <c r="AA245" s="328"/>
      <c r="AB245" s="329">
        <f t="shared" ref="AB245" si="175">AB244+1</f>
        <v>172</v>
      </c>
      <c r="AC245" s="321">
        <v>-2.7030555555555558E-2</v>
      </c>
      <c r="AD245" s="321">
        <v>-3.0655555555555554E-2</v>
      </c>
      <c r="AE245" s="266"/>
      <c r="AF245" s="266"/>
      <c r="AG245" s="266"/>
      <c r="AH245" s="266"/>
      <c r="AI245" s="266"/>
      <c r="AJ245" s="266"/>
    </row>
    <row r="246" spans="1:36">
      <c r="A246" s="266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364">
        <v>51</v>
      </c>
      <c r="M246" s="288">
        <v>3.49E-2</v>
      </c>
      <c r="N246" s="289">
        <v>3.49E-2</v>
      </c>
      <c r="O246" s="290">
        <v>0.4667</v>
      </c>
      <c r="P246" s="291">
        <v>0.4627</v>
      </c>
      <c r="Q246" s="292">
        <v>0.46850000000000003</v>
      </c>
      <c r="R246" s="293">
        <v>0.43180000000000002</v>
      </c>
      <c r="S246" s="295">
        <v>12.7849</v>
      </c>
      <c r="T246" s="266"/>
      <c r="U246" s="266"/>
      <c r="V246" s="266"/>
      <c r="W246" s="266"/>
      <c r="X246" s="327">
        <f t="shared" si="133"/>
        <v>173</v>
      </c>
      <c r="Y246" s="317">
        <v>23.435438888888889</v>
      </c>
      <c r="Z246" s="317">
        <v>23.428350000000002</v>
      </c>
      <c r="AA246" s="328"/>
      <c r="AB246" s="329">
        <f t="shared" ref="AB246" si="176">AB245+1</f>
        <v>173</v>
      </c>
      <c r="AC246" s="321">
        <v>-3.0655555555555554E-2</v>
      </c>
      <c r="AD246" s="321">
        <v>-3.4266666666666667E-2</v>
      </c>
      <c r="AE246" s="266"/>
      <c r="AF246" s="266"/>
      <c r="AG246" s="266"/>
      <c r="AH246" s="266"/>
      <c r="AI246" s="266"/>
      <c r="AJ246" s="266"/>
    </row>
    <row r="247" spans="1:36">
      <c r="A247" s="266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364">
        <v>52</v>
      </c>
      <c r="M247" s="288">
        <v>3.56E-2</v>
      </c>
      <c r="N247" s="289">
        <v>3.56E-2</v>
      </c>
      <c r="O247" s="290">
        <v>0.4758</v>
      </c>
      <c r="P247" s="291">
        <v>0.4718</v>
      </c>
      <c r="Q247" s="292">
        <v>0.47770000000000001</v>
      </c>
      <c r="R247" s="293">
        <v>0.44019999999999998</v>
      </c>
      <c r="S247" s="295">
        <v>13.035600000000001</v>
      </c>
      <c r="T247" s="266"/>
      <c r="U247" s="266"/>
      <c r="V247" s="266"/>
      <c r="W247" s="266"/>
      <c r="X247" s="327">
        <f t="shared" si="133"/>
        <v>174</v>
      </c>
      <c r="Y247" s="317">
        <v>23.428350000000002</v>
      </c>
      <c r="Z247" s="317">
        <v>23.414380555555553</v>
      </c>
      <c r="AA247" s="328"/>
      <c r="AB247" s="329">
        <f t="shared" ref="AB247" si="177">AB246+1</f>
        <v>174</v>
      </c>
      <c r="AC247" s="321">
        <v>-3.4266666666666667E-2</v>
      </c>
      <c r="AD247" s="321">
        <v>-3.7861111111111109E-2</v>
      </c>
      <c r="AE247" s="266"/>
      <c r="AF247" s="266"/>
      <c r="AG247" s="266"/>
      <c r="AH247" s="266"/>
      <c r="AI247" s="266"/>
      <c r="AJ247" s="266"/>
    </row>
    <row r="248" spans="1:36">
      <c r="A248" s="266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364">
        <v>53</v>
      </c>
      <c r="M248" s="288">
        <v>3.6299999999999999E-2</v>
      </c>
      <c r="N248" s="289">
        <v>3.6299999999999999E-2</v>
      </c>
      <c r="O248" s="290">
        <v>0.48499999999999999</v>
      </c>
      <c r="P248" s="291">
        <v>0.48089999999999999</v>
      </c>
      <c r="Q248" s="292">
        <v>0.4869</v>
      </c>
      <c r="R248" s="293">
        <v>0.44869999999999999</v>
      </c>
      <c r="S248" s="295">
        <v>13.286300000000001</v>
      </c>
      <c r="T248" s="266"/>
      <c r="U248" s="266"/>
      <c r="V248" s="266"/>
      <c r="W248" s="266"/>
      <c r="X248" s="327">
        <f t="shared" si="133"/>
        <v>175</v>
      </c>
      <c r="Y248" s="317">
        <v>23.414380555555553</v>
      </c>
      <c r="Z248" s="317">
        <v>23.393538888888887</v>
      </c>
      <c r="AA248" s="328"/>
      <c r="AB248" s="329">
        <f t="shared" ref="AB248" si="178">AB247+1</f>
        <v>175</v>
      </c>
      <c r="AC248" s="321">
        <v>-3.7861111111111109E-2</v>
      </c>
      <c r="AD248" s="321">
        <v>-4.1427777777777779E-2</v>
      </c>
      <c r="AE248" s="266"/>
      <c r="AF248" s="266"/>
      <c r="AG248" s="266"/>
      <c r="AH248" s="266"/>
      <c r="AI248" s="266"/>
      <c r="AJ248" s="266"/>
    </row>
    <row r="249" spans="1:36">
      <c r="A249" s="266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364">
        <v>54</v>
      </c>
      <c r="M249" s="288">
        <v>3.6999999999999998E-2</v>
      </c>
      <c r="N249" s="289">
        <v>3.6999999999999998E-2</v>
      </c>
      <c r="O249" s="290">
        <v>0.49409999999999998</v>
      </c>
      <c r="P249" s="291">
        <v>0.4899</v>
      </c>
      <c r="Q249" s="292">
        <v>0.49609999999999999</v>
      </c>
      <c r="R249" s="293">
        <v>0.4572</v>
      </c>
      <c r="S249" s="295">
        <v>13.537000000000001</v>
      </c>
      <c r="T249" s="266"/>
      <c r="U249" s="266"/>
      <c r="V249" s="266"/>
      <c r="W249" s="266"/>
      <c r="X249" s="327">
        <f t="shared" si="133"/>
        <v>176</v>
      </c>
      <c r="Y249" s="317">
        <v>23.393538888888887</v>
      </c>
      <c r="Z249" s="317">
        <v>23.365833333333335</v>
      </c>
      <c r="AA249" s="328"/>
      <c r="AB249" s="329">
        <f t="shared" ref="AB249" si="179">AB248+1</f>
        <v>176</v>
      </c>
      <c r="AC249" s="321">
        <v>-4.1427777777777779E-2</v>
      </c>
      <c r="AD249" s="321">
        <v>-4.4963888888888887E-2</v>
      </c>
      <c r="AE249" s="266"/>
      <c r="AF249" s="266"/>
      <c r="AG249" s="266"/>
      <c r="AH249" s="266"/>
      <c r="AI249" s="266"/>
      <c r="AJ249" s="266"/>
    </row>
    <row r="250" spans="1:36">
      <c r="A250" s="266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364">
        <v>55</v>
      </c>
      <c r="M250" s="288">
        <v>3.7600000000000001E-2</v>
      </c>
      <c r="N250" s="289">
        <v>3.7600000000000001E-2</v>
      </c>
      <c r="O250" s="290">
        <v>0.50329999999999997</v>
      </c>
      <c r="P250" s="291">
        <v>0.499</v>
      </c>
      <c r="Q250" s="292">
        <v>0.50529999999999997</v>
      </c>
      <c r="R250" s="293">
        <v>0.46560000000000001</v>
      </c>
      <c r="S250" s="295">
        <v>13.787599999999999</v>
      </c>
      <c r="T250" s="266"/>
      <c r="U250" s="266"/>
      <c r="V250" s="266"/>
      <c r="W250" s="266"/>
      <c r="X250" s="327">
        <f t="shared" si="133"/>
        <v>177</v>
      </c>
      <c r="Y250" s="317">
        <v>23.365833333333335</v>
      </c>
      <c r="Z250" s="317">
        <v>23.331280555555555</v>
      </c>
      <c r="AA250" s="328"/>
      <c r="AB250" s="329">
        <f t="shared" ref="AB250" si="180">AB249+1</f>
        <v>177</v>
      </c>
      <c r="AC250" s="321">
        <v>-4.4963888888888887E-2</v>
      </c>
      <c r="AD250" s="321">
        <v>-4.8461111111111108E-2</v>
      </c>
      <c r="AE250" s="266"/>
      <c r="AF250" s="266"/>
      <c r="AG250" s="266"/>
      <c r="AH250" s="266"/>
      <c r="AI250" s="266"/>
      <c r="AJ250" s="266"/>
    </row>
    <row r="251" spans="1:36">
      <c r="A251" s="266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364">
        <v>56</v>
      </c>
      <c r="M251" s="288">
        <v>3.8300000000000001E-2</v>
      </c>
      <c r="N251" s="289">
        <v>3.8300000000000001E-2</v>
      </c>
      <c r="O251" s="290">
        <v>0.51239999999999997</v>
      </c>
      <c r="P251" s="291">
        <v>0.5081</v>
      </c>
      <c r="Q251" s="292">
        <v>0.51449999999999996</v>
      </c>
      <c r="R251" s="293">
        <v>0.47410000000000002</v>
      </c>
      <c r="S251" s="295">
        <v>14.0383</v>
      </c>
      <c r="T251" s="266"/>
      <c r="U251" s="266"/>
      <c r="V251" s="266"/>
      <c r="W251" s="266"/>
      <c r="X251" s="327">
        <f t="shared" si="133"/>
        <v>178</v>
      </c>
      <c r="Y251" s="317">
        <v>23.331280555555555</v>
      </c>
      <c r="Z251" s="317">
        <v>23.289894444444446</v>
      </c>
      <c r="AA251" s="328"/>
      <c r="AB251" s="329">
        <f t="shared" ref="AB251" si="181">AB250+1</f>
        <v>178</v>
      </c>
      <c r="AC251" s="321">
        <v>-4.8461111111111108E-2</v>
      </c>
      <c r="AD251" s="321">
        <v>-5.1913888888888891E-2</v>
      </c>
      <c r="AE251" s="266"/>
      <c r="AF251" s="266"/>
      <c r="AG251" s="266"/>
      <c r="AH251" s="266"/>
      <c r="AI251" s="266"/>
      <c r="AJ251" s="266"/>
    </row>
    <row r="252" spans="1:36">
      <c r="A252" s="266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364">
        <v>57</v>
      </c>
      <c r="M252" s="288">
        <v>3.9E-2</v>
      </c>
      <c r="N252" s="289">
        <v>3.9E-2</v>
      </c>
      <c r="O252" s="290">
        <v>0.52159999999999995</v>
      </c>
      <c r="P252" s="291">
        <v>0.51719999999999999</v>
      </c>
      <c r="Q252" s="292">
        <v>0.52370000000000005</v>
      </c>
      <c r="R252" s="293">
        <v>0.48259999999999997</v>
      </c>
      <c r="S252" s="295">
        <v>14.289</v>
      </c>
      <c r="T252" s="266"/>
      <c r="U252" s="266"/>
      <c r="V252" s="266"/>
      <c r="W252" s="266"/>
      <c r="X252" s="327">
        <f t="shared" si="133"/>
        <v>179</v>
      </c>
      <c r="Y252" s="317">
        <v>23.289894444444446</v>
      </c>
      <c r="Z252" s="317">
        <v>23.241694444444445</v>
      </c>
      <c r="AA252" s="328"/>
      <c r="AB252" s="329">
        <f t="shared" ref="AB252" si="182">AB251+1</f>
        <v>179</v>
      </c>
      <c r="AC252" s="321">
        <v>-5.1913888888888891E-2</v>
      </c>
      <c r="AD252" s="321">
        <v>-5.5313888888888892E-2</v>
      </c>
      <c r="AE252" s="266"/>
      <c r="AF252" s="266"/>
      <c r="AG252" s="266"/>
      <c r="AH252" s="266"/>
      <c r="AI252" s="266"/>
      <c r="AJ252" s="266"/>
    </row>
    <row r="253" spans="1:36">
      <c r="A253" s="266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364">
        <v>58</v>
      </c>
      <c r="M253" s="288">
        <v>3.9699999999999999E-2</v>
      </c>
      <c r="N253" s="289">
        <v>3.9699999999999999E-2</v>
      </c>
      <c r="O253" s="290">
        <v>0.53069999999999995</v>
      </c>
      <c r="P253" s="291">
        <v>0.5262</v>
      </c>
      <c r="Q253" s="292">
        <v>0.53280000000000005</v>
      </c>
      <c r="R253" s="293">
        <v>0.49099999999999999</v>
      </c>
      <c r="S253" s="295">
        <v>14.5397</v>
      </c>
      <c r="T253" s="266"/>
      <c r="U253" s="266"/>
      <c r="V253" s="266"/>
      <c r="W253" s="266"/>
      <c r="X253" s="327">
        <f t="shared" si="133"/>
        <v>180</v>
      </c>
      <c r="Y253" s="317">
        <v>23.241694444444445</v>
      </c>
      <c r="Z253" s="317">
        <v>23.186702777777779</v>
      </c>
      <c r="AA253" s="328"/>
      <c r="AB253" s="329">
        <f t="shared" ref="AB253" si="183">AB252+1</f>
        <v>180</v>
      </c>
      <c r="AC253" s="321">
        <v>-5.5313888888888892E-2</v>
      </c>
      <c r="AD253" s="321">
        <v>-5.865833333333334E-2</v>
      </c>
      <c r="AE253" s="266"/>
      <c r="AF253" s="266"/>
      <c r="AG253" s="266"/>
      <c r="AH253" s="266"/>
      <c r="AI253" s="266"/>
      <c r="AJ253" s="266"/>
    </row>
    <row r="254" spans="1:36">
      <c r="A254" s="266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364">
        <v>59</v>
      </c>
      <c r="M254" s="288">
        <v>4.0399999999999998E-2</v>
      </c>
      <c r="N254" s="289">
        <v>4.0399999999999998E-2</v>
      </c>
      <c r="O254" s="290">
        <v>0.53990000000000005</v>
      </c>
      <c r="P254" s="291">
        <v>0.5353</v>
      </c>
      <c r="Q254" s="292">
        <v>0.54200000000000004</v>
      </c>
      <c r="R254" s="293">
        <v>0.4995</v>
      </c>
      <c r="S254" s="295">
        <v>14.7904</v>
      </c>
      <c r="T254" s="266"/>
      <c r="U254" s="266"/>
      <c r="V254" s="266"/>
      <c r="W254" s="266"/>
      <c r="X254" s="327">
        <f t="shared" si="133"/>
        <v>181</v>
      </c>
      <c r="Y254" s="317">
        <v>23.186702777777779</v>
      </c>
      <c r="Z254" s="317">
        <v>23.124941666666668</v>
      </c>
      <c r="AA254" s="328"/>
      <c r="AB254" s="329">
        <f t="shared" ref="AB254" si="184">AB253+1</f>
        <v>181</v>
      </c>
      <c r="AC254" s="321">
        <v>-5.865833333333334E-2</v>
      </c>
      <c r="AD254" s="321">
        <v>-6.1936111111111115E-2</v>
      </c>
      <c r="AE254" s="266"/>
      <c r="AF254" s="266"/>
      <c r="AG254" s="266"/>
      <c r="AH254" s="266"/>
      <c r="AI254" s="266"/>
      <c r="AJ254" s="266"/>
    </row>
    <row r="255" spans="1:36">
      <c r="A255" s="266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364">
        <v>60</v>
      </c>
      <c r="M255" s="288">
        <v>4.1099999999999998E-2</v>
      </c>
      <c r="N255" s="289">
        <v>4.1099999999999998E-2</v>
      </c>
      <c r="O255" s="290">
        <v>0.54900000000000004</v>
      </c>
      <c r="P255" s="291">
        <v>0.5444</v>
      </c>
      <c r="Q255" s="292">
        <v>0.55120000000000002</v>
      </c>
      <c r="R255" s="293">
        <v>0.50790000000000002</v>
      </c>
      <c r="S255" s="295">
        <v>15.0411</v>
      </c>
      <c r="T255" s="266"/>
      <c r="U255" s="266"/>
      <c r="V255" s="266"/>
      <c r="W255" s="266"/>
      <c r="X255" s="327">
        <f t="shared" si="133"/>
        <v>182</v>
      </c>
      <c r="Y255" s="317">
        <v>23.124941666666668</v>
      </c>
      <c r="Z255" s="317">
        <v>23.056441666666668</v>
      </c>
      <c r="AA255" s="328"/>
      <c r="AB255" s="329">
        <f t="shared" ref="AB255" si="185">AB254+1</f>
        <v>182</v>
      </c>
      <c r="AC255" s="321">
        <v>-6.1936111111111115E-2</v>
      </c>
      <c r="AD255" s="321">
        <v>-6.5147222222222231E-2</v>
      </c>
      <c r="AE255" s="266"/>
      <c r="AF255" s="266"/>
      <c r="AG255" s="266"/>
      <c r="AH255" s="266"/>
      <c r="AI255" s="266"/>
      <c r="AJ255" s="266"/>
    </row>
    <row r="256" spans="1:36">
      <c r="A256" s="266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327">
        <f t="shared" si="133"/>
        <v>183</v>
      </c>
      <c r="Y256" s="317">
        <v>23.056441666666668</v>
      </c>
      <c r="Z256" s="317">
        <v>22.981227777777775</v>
      </c>
      <c r="AA256" s="328"/>
      <c r="AB256" s="329">
        <f t="shared" ref="AB256" si="186">AB255+1</f>
        <v>183</v>
      </c>
      <c r="AC256" s="321">
        <v>-6.5147222222222231E-2</v>
      </c>
      <c r="AD256" s="321">
        <v>-6.5052777777777779E-2</v>
      </c>
      <c r="AE256" s="266"/>
      <c r="AF256" s="266"/>
      <c r="AG256" s="266"/>
      <c r="AH256" s="266"/>
      <c r="AI256" s="266"/>
      <c r="AJ256" s="266"/>
    </row>
    <row r="257" spans="1:36" ht="17.399999999999999">
      <c r="A257" s="266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764" t="s">
        <v>117</v>
      </c>
      <c r="M257" s="765"/>
      <c r="N257" s="765"/>
      <c r="O257" s="765"/>
      <c r="P257" s="765"/>
      <c r="Q257" s="765"/>
      <c r="R257" s="765"/>
      <c r="S257" s="766"/>
      <c r="T257" s="266"/>
      <c r="U257" s="266"/>
      <c r="V257" s="266"/>
      <c r="W257" s="266"/>
      <c r="X257" s="327">
        <f t="shared" si="133"/>
        <v>184</v>
      </c>
      <c r="Y257" s="317">
        <v>22.981227777777775</v>
      </c>
      <c r="Z257" s="317">
        <v>22.899336111111111</v>
      </c>
      <c r="AA257" s="328"/>
      <c r="AB257" s="329">
        <f t="shared" ref="AB257" si="187">AB256+1</f>
        <v>184</v>
      </c>
      <c r="AC257" s="321">
        <v>-6.5052777777777779E-2</v>
      </c>
      <c r="AD257" s="321">
        <v>-7.1333333333333332E-2</v>
      </c>
      <c r="AE257" s="266"/>
      <c r="AF257" s="266"/>
      <c r="AG257" s="266"/>
      <c r="AH257" s="266"/>
      <c r="AI257" s="266"/>
      <c r="AJ257" s="266"/>
    </row>
    <row r="258" spans="1:36">
      <c r="A258" s="266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362" t="s">
        <v>118</v>
      </c>
      <c r="M258" s="271" t="s">
        <v>24</v>
      </c>
      <c r="N258" s="271" t="s">
        <v>25</v>
      </c>
      <c r="O258" s="271" t="s">
        <v>26</v>
      </c>
      <c r="P258" s="271" t="s">
        <v>27</v>
      </c>
      <c r="Q258" s="271" t="s">
        <v>18</v>
      </c>
      <c r="R258" s="271" t="s">
        <v>28</v>
      </c>
      <c r="S258" s="271" t="s">
        <v>30</v>
      </c>
      <c r="T258" s="266"/>
      <c r="U258" s="266"/>
      <c r="V258" s="266"/>
      <c r="W258" s="266"/>
      <c r="X258" s="327">
        <f t="shared" si="133"/>
        <v>185</v>
      </c>
      <c r="Y258" s="317">
        <v>22.899336111111111</v>
      </c>
      <c r="Z258" s="317">
        <v>22.810797222222224</v>
      </c>
      <c r="AA258" s="328"/>
      <c r="AB258" s="329">
        <f t="shared" ref="AB258" si="188">AB257+1</f>
        <v>185</v>
      </c>
      <c r="AC258" s="321">
        <v>-7.1333333333333332E-2</v>
      </c>
      <c r="AD258" s="321">
        <v>-7.4300000000000005E-2</v>
      </c>
      <c r="AE258" s="266"/>
      <c r="AF258" s="266"/>
      <c r="AG258" s="266"/>
      <c r="AH258" s="266"/>
      <c r="AI258" s="266"/>
      <c r="AJ258" s="266"/>
    </row>
    <row r="259" spans="1:36">
      <c r="A259" s="266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363"/>
      <c r="M259" s="277" t="s">
        <v>39</v>
      </c>
      <c r="N259" s="277" t="s">
        <v>40</v>
      </c>
      <c r="O259" s="277" t="s">
        <v>36</v>
      </c>
      <c r="P259" s="277" t="s">
        <v>33</v>
      </c>
      <c r="Q259" s="277" t="s">
        <v>41</v>
      </c>
      <c r="R259" s="277" t="s">
        <v>42</v>
      </c>
      <c r="S259" s="277" t="s">
        <v>44</v>
      </c>
      <c r="T259" s="266"/>
      <c r="U259" s="266"/>
      <c r="V259" s="266"/>
      <c r="W259" s="266"/>
      <c r="X259" s="327">
        <f t="shared" si="133"/>
        <v>186</v>
      </c>
      <c r="Y259" s="317">
        <v>22.810797222222224</v>
      </c>
      <c r="Z259" s="317">
        <v>22.71565</v>
      </c>
      <c r="AA259" s="328"/>
      <c r="AB259" s="329">
        <f t="shared" ref="AB259" si="189">AB258+1</f>
        <v>186</v>
      </c>
      <c r="AC259" s="321">
        <v>-7.4300000000000005E-2</v>
      </c>
      <c r="AD259" s="321">
        <v>-7.7174999999999994E-2</v>
      </c>
      <c r="AE259" s="266"/>
      <c r="AF259" s="266"/>
      <c r="AG259" s="266"/>
      <c r="AH259" s="266"/>
      <c r="AI259" s="266"/>
      <c r="AJ259" s="266"/>
    </row>
    <row r="260" spans="1:36">
      <c r="A260" s="266"/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364">
        <v>1</v>
      </c>
      <c r="M260" s="288">
        <v>2</v>
      </c>
      <c r="N260" s="289">
        <v>3</v>
      </c>
      <c r="O260" s="290">
        <v>4</v>
      </c>
      <c r="P260" s="291">
        <v>5</v>
      </c>
      <c r="Q260" s="292">
        <v>6</v>
      </c>
      <c r="R260" s="293">
        <v>7</v>
      </c>
      <c r="S260" s="295">
        <v>8</v>
      </c>
      <c r="T260" s="266"/>
      <c r="U260" s="266"/>
      <c r="V260" s="266"/>
      <c r="W260" s="266"/>
      <c r="X260" s="327">
        <f t="shared" si="133"/>
        <v>187</v>
      </c>
      <c r="Y260" s="317">
        <v>22.71565</v>
      </c>
      <c r="Z260" s="317">
        <v>22.613930555555555</v>
      </c>
      <c r="AA260" s="328"/>
      <c r="AB260" s="329">
        <f t="shared" ref="AB260" si="190">AB259+1</f>
        <v>187</v>
      </c>
      <c r="AC260" s="321">
        <v>-7.7174999999999994E-2</v>
      </c>
      <c r="AD260" s="321">
        <v>-7.9949999999999993E-2</v>
      </c>
      <c r="AE260" s="266"/>
      <c r="AF260" s="266"/>
      <c r="AG260" s="266"/>
      <c r="AH260" s="266"/>
      <c r="AI260" s="266"/>
      <c r="AJ260" s="266"/>
    </row>
    <row r="261" spans="1:36">
      <c r="A261" s="266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364">
        <v>0</v>
      </c>
      <c r="M261" s="288">
        <v>0</v>
      </c>
      <c r="N261" s="289">
        <v>0</v>
      </c>
      <c r="O261" s="290">
        <v>0</v>
      </c>
      <c r="P261" s="291">
        <v>0</v>
      </c>
      <c r="Q261" s="292">
        <v>0</v>
      </c>
      <c r="R261" s="293">
        <v>0</v>
      </c>
      <c r="S261" s="295">
        <v>0</v>
      </c>
      <c r="T261" s="266"/>
      <c r="U261" s="266"/>
      <c r="V261" s="266"/>
      <c r="W261" s="266"/>
      <c r="X261" s="327">
        <f t="shared" si="133"/>
        <v>188</v>
      </c>
      <c r="Y261" s="317">
        <v>22.613930555555555</v>
      </c>
      <c r="Z261" s="317">
        <v>22.505680555555557</v>
      </c>
      <c r="AA261" s="328"/>
      <c r="AB261" s="329">
        <f t="shared" ref="AB261" si="191">AB260+1</f>
        <v>188</v>
      </c>
      <c r="AC261" s="321">
        <v>-7.9949999999999993E-2</v>
      </c>
      <c r="AD261" s="321">
        <v>-8.261944444444444E-2</v>
      </c>
      <c r="AE261" s="266"/>
      <c r="AF261" s="266"/>
      <c r="AG261" s="266"/>
      <c r="AH261" s="266"/>
      <c r="AI261" s="266"/>
      <c r="AJ261" s="266"/>
    </row>
    <row r="262" spans="1:36">
      <c r="A262" s="266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364">
        <v>1</v>
      </c>
      <c r="M262" s="288">
        <v>0</v>
      </c>
      <c r="N262" s="289">
        <v>0</v>
      </c>
      <c r="O262" s="290">
        <v>2.0000000000000001E-4</v>
      </c>
      <c r="P262" s="291">
        <v>2.0000000000000001E-4</v>
      </c>
      <c r="Q262" s="292">
        <v>2.0000000000000001E-4</v>
      </c>
      <c r="R262" s="293">
        <v>1E-4</v>
      </c>
      <c r="S262" s="295">
        <v>4.1999999999999997E-3</v>
      </c>
      <c r="T262" s="266"/>
      <c r="U262" s="266"/>
      <c r="V262" s="266"/>
      <c r="W262" s="266"/>
      <c r="X262" s="327">
        <f t="shared" si="133"/>
        <v>189</v>
      </c>
      <c r="Y262" s="317">
        <v>22.505680555555557</v>
      </c>
      <c r="Z262" s="317">
        <v>22.390947222222223</v>
      </c>
      <c r="AA262" s="328"/>
      <c r="AB262" s="329">
        <f t="shared" ref="AB262" si="192">AB261+1</f>
        <v>189</v>
      </c>
      <c r="AC262" s="321">
        <v>-8.261944444444444E-2</v>
      </c>
      <c r="AD262" s="321">
        <v>-8.5183333333333333E-2</v>
      </c>
      <c r="AE262" s="266"/>
      <c r="AF262" s="266"/>
      <c r="AG262" s="266"/>
      <c r="AH262" s="266"/>
      <c r="AI262" s="266"/>
      <c r="AJ262" s="266"/>
    </row>
    <row r="263" spans="1:36">
      <c r="A263" s="266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364">
        <v>2</v>
      </c>
      <c r="M263" s="288">
        <v>0</v>
      </c>
      <c r="N263" s="289">
        <v>0</v>
      </c>
      <c r="O263" s="290">
        <v>2.9999999999999997E-4</v>
      </c>
      <c r="P263" s="291">
        <v>2.9999999999999997E-4</v>
      </c>
      <c r="Q263" s="292">
        <v>2.9999999999999997E-4</v>
      </c>
      <c r="R263" s="293">
        <v>2.9999999999999997E-4</v>
      </c>
      <c r="S263" s="295">
        <v>8.3999999999999995E-3</v>
      </c>
      <c r="T263" s="266"/>
      <c r="U263" s="266"/>
      <c r="V263" s="266"/>
      <c r="W263" s="266"/>
      <c r="X263" s="327">
        <f t="shared" si="133"/>
        <v>190</v>
      </c>
      <c r="Y263" s="317">
        <v>22.390947222222223</v>
      </c>
      <c r="Z263" s="317">
        <v>22.269772222222223</v>
      </c>
      <c r="AA263" s="328"/>
      <c r="AB263" s="329">
        <f t="shared" ref="AB263" si="193">AB262+1</f>
        <v>190</v>
      </c>
      <c r="AC263" s="321">
        <v>-8.5183333333333333E-2</v>
      </c>
      <c r="AD263" s="321">
        <v>-8.7633333333333327E-2</v>
      </c>
      <c r="AE263" s="266"/>
      <c r="AF263" s="266"/>
      <c r="AG263" s="266"/>
      <c r="AH263" s="266"/>
      <c r="AI263" s="266"/>
      <c r="AJ263" s="266"/>
    </row>
    <row r="264" spans="1:36">
      <c r="A264" s="266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364">
        <v>3</v>
      </c>
      <c r="M264" s="288">
        <v>0</v>
      </c>
      <c r="N264" s="289">
        <v>0</v>
      </c>
      <c r="O264" s="290">
        <v>5.0000000000000001E-4</v>
      </c>
      <c r="P264" s="291">
        <v>5.0000000000000001E-4</v>
      </c>
      <c r="Q264" s="292">
        <v>5.0000000000000001E-4</v>
      </c>
      <c r="R264" s="293">
        <v>4.0000000000000002E-4</v>
      </c>
      <c r="S264" s="295">
        <v>1.2500000000000001E-2</v>
      </c>
      <c r="T264" s="266"/>
      <c r="U264" s="266"/>
      <c r="V264" s="266"/>
      <c r="W264" s="266"/>
      <c r="X264" s="327">
        <f t="shared" si="133"/>
        <v>191</v>
      </c>
      <c r="Y264" s="317">
        <v>22.269772222222223</v>
      </c>
      <c r="Z264" s="317">
        <v>22.142205555555556</v>
      </c>
      <c r="AA264" s="328"/>
      <c r="AB264" s="329">
        <f t="shared" ref="AB264" si="194">AB263+1</f>
        <v>191</v>
      </c>
      <c r="AC264" s="321">
        <v>-8.7633333333333327E-2</v>
      </c>
      <c r="AD264" s="321">
        <v>-8.9966666666666667E-2</v>
      </c>
      <c r="AE264" s="266"/>
      <c r="AF264" s="266"/>
      <c r="AG264" s="266"/>
      <c r="AH264" s="266"/>
      <c r="AI264" s="266"/>
      <c r="AJ264" s="266"/>
    </row>
    <row r="265" spans="1:36">
      <c r="A265" s="266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364">
        <v>4</v>
      </c>
      <c r="M265" s="288">
        <v>0</v>
      </c>
      <c r="N265" s="289">
        <v>0</v>
      </c>
      <c r="O265" s="290">
        <v>5.9999999999999995E-4</v>
      </c>
      <c r="P265" s="291">
        <v>5.9999999999999995E-4</v>
      </c>
      <c r="Q265" s="292">
        <v>5.9999999999999995E-4</v>
      </c>
      <c r="R265" s="293">
        <v>5.9999999999999995E-4</v>
      </c>
      <c r="S265" s="295">
        <v>1.67E-2</v>
      </c>
      <c r="T265" s="266"/>
      <c r="U265" s="266"/>
      <c r="V265" s="266"/>
      <c r="W265" s="266"/>
      <c r="X265" s="327">
        <f t="shared" si="133"/>
        <v>192</v>
      </c>
      <c r="Y265" s="317">
        <v>22.142205555555556</v>
      </c>
      <c r="Z265" s="317">
        <v>22.008297222222222</v>
      </c>
      <c r="AA265" s="328"/>
      <c r="AB265" s="329">
        <f t="shared" ref="AB265" si="195">AB264+1</f>
        <v>192</v>
      </c>
      <c r="AC265" s="321">
        <v>-8.9966666666666667E-2</v>
      </c>
      <c r="AD265" s="321">
        <v>-9.2174999999999993E-2</v>
      </c>
      <c r="AE265" s="266"/>
      <c r="AF265" s="266"/>
      <c r="AG265" s="266"/>
      <c r="AH265" s="266"/>
      <c r="AI265" s="266"/>
      <c r="AJ265" s="266"/>
    </row>
    <row r="266" spans="1:36">
      <c r="A266" s="266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364">
        <v>5</v>
      </c>
      <c r="M266" s="288">
        <v>1E-4</v>
      </c>
      <c r="N266" s="289">
        <v>1E-4</v>
      </c>
      <c r="O266" s="290">
        <v>8.0000000000000004E-4</v>
      </c>
      <c r="P266" s="291">
        <v>8.0000000000000004E-4</v>
      </c>
      <c r="Q266" s="292">
        <v>8.0000000000000004E-4</v>
      </c>
      <c r="R266" s="293">
        <v>6.9999999999999999E-4</v>
      </c>
      <c r="S266" s="295">
        <v>2.0899999999999998E-2</v>
      </c>
      <c r="T266" s="266"/>
      <c r="U266" s="266"/>
      <c r="V266" s="266"/>
      <c r="W266" s="266"/>
      <c r="X266" s="327">
        <f t="shared" si="133"/>
        <v>193</v>
      </c>
      <c r="Y266" s="317">
        <v>22.008297222222222</v>
      </c>
      <c r="Z266" s="317">
        <v>21.868097222222222</v>
      </c>
      <c r="AA266" s="328"/>
      <c r="AB266" s="329">
        <f t="shared" ref="AB266" si="196">AB265+1</f>
        <v>193</v>
      </c>
      <c r="AC266" s="321">
        <v>-9.2174999999999993E-2</v>
      </c>
      <c r="AD266" s="321">
        <v>-9.4258333333333333E-2</v>
      </c>
      <c r="AE266" s="266"/>
      <c r="AF266" s="266"/>
      <c r="AG266" s="266"/>
      <c r="AH266" s="266"/>
      <c r="AI266" s="266"/>
      <c r="AJ266" s="266"/>
    </row>
    <row r="267" spans="1:36">
      <c r="A267" s="266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364">
        <v>6</v>
      </c>
      <c r="M267" s="288">
        <v>1E-4</v>
      </c>
      <c r="N267" s="289">
        <v>1E-4</v>
      </c>
      <c r="O267" s="290">
        <v>8.9999999999999998E-4</v>
      </c>
      <c r="P267" s="291">
        <v>8.9999999999999998E-4</v>
      </c>
      <c r="Q267" s="292">
        <v>8.9999999999999998E-4</v>
      </c>
      <c r="R267" s="293">
        <v>8.0000000000000004E-4</v>
      </c>
      <c r="S267" s="295">
        <v>2.5100000000000001E-2</v>
      </c>
      <c r="T267" s="266"/>
      <c r="U267" s="266"/>
      <c r="V267" s="266"/>
      <c r="W267" s="266"/>
      <c r="X267" s="327">
        <f t="shared" si="133"/>
        <v>194</v>
      </c>
      <c r="Y267" s="317">
        <v>21.868097222222222</v>
      </c>
      <c r="Z267" s="317">
        <v>21.721661111111111</v>
      </c>
      <c r="AA267" s="328"/>
      <c r="AB267" s="329">
        <f t="shared" ref="AB267" si="197">AB266+1</f>
        <v>194</v>
      </c>
      <c r="AC267" s="321">
        <v>-9.4258333333333333E-2</v>
      </c>
      <c r="AD267" s="321">
        <v>-9.6208333333333326E-2</v>
      </c>
      <c r="AE267" s="266"/>
      <c r="AF267" s="266"/>
      <c r="AG267" s="266"/>
      <c r="AH267" s="266"/>
      <c r="AI267" s="266"/>
      <c r="AJ267" s="266"/>
    </row>
    <row r="268" spans="1:36">
      <c r="A268" s="266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364">
        <v>7</v>
      </c>
      <c r="M268" s="288">
        <v>1E-4</v>
      </c>
      <c r="N268" s="289">
        <v>1E-4</v>
      </c>
      <c r="O268" s="290">
        <v>1.1000000000000001E-3</v>
      </c>
      <c r="P268" s="291">
        <v>1.1000000000000001E-3</v>
      </c>
      <c r="Q268" s="292">
        <v>1.1000000000000001E-3</v>
      </c>
      <c r="R268" s="293">
        <v>1E-3</v>
      </c>
      <c r="S268" s="295">
        <v>2.92E-2</v>
      </c>
      <c r="T268" s="266"/>
      <c r="U268" s="266"/>
      <c r="V268" s="266"/>
      <c r="W268" s="266"/>
      <c r="X268" s="327">
        <f t="shared" ref="X268:X331" si="198">X267+1</f>
        <v>195</v>
      </c>
      <c r="Y268" s="317">
        <v>21.721661111111111</v>
      </c>
      <c r="Z268" s="317">
        <v>21.569044444444444</v>
      </c>
      <c r="AA268" s="328"/>
      <c r="AB268" s="329">
        <f t="shared" ref="AB268" si="199">AB267+1</f>
        <v>195</v>
      </c>
      <c r="AC268" s="321">
        <v>-9.6208333333333326E-2</v>
      </c>
      <c r="AD268" s="321">
        <v>-9.8025000000000001E-2</v>
      </c>
      <c r="AE268" s="266"/>
      <c r="AF268" s="266"/>
      <c r="AG268" s="266"/>
      <c r="AH268" s="266"/>
      <c r="AI268" s="266"/>
      <c r="AJ268" s="266"/>
    </row>
    <row r="269" spans="1:36">
      <c r="A269" s="266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364">
        <v>8</v>
      </c>
      <c r="M269" s="288">
        <v>1E-4</v>
      </c>
      <c r="N269" s="289">
        <v>1E-4</v>
      </c>
      <c r="O269" s="290">
        <v>1.1999999999999999E-3</v>
      </c>
      <c r="P269" s="291">
        <v>1.1999999999999999E-3</v>
      </c>
      <c r="Q269" s="292">
        <v>1.1999999999999999E-3</v>
      </c>
      <c r="R269" s="293">
        <v>1.1000000000000001E-3</v>
      </c>
      <c r="S269" s="295">
        <v>3.3399999999999999E-2</v>
      </c>
      <c r="T269" s="266"/>
      <c r="U269" s="266"/>
      <c r="V269" s="266"/>
      <c r="W269" s="266"/>
      <c r="X269" s="327">
        <f t="shared" si="198"/>
        <v>196</v>
      </c>
      <c r="Y269" s="317">
        <v>21.569044444444444</v>
      </c>
      <c r="Z269" s="317">
        <v>21.410302777777776</v>
      </c>
      <c r="AA269" s="328"/>
      <c r="AB269" s="329">
        <f t="shared" ref="AB269" si="200">AB268+1</f>
        <v>196</v>
      </c>
      <c r="AC269" s="321">
        <v>-9.8025000000000001E-2</v>
      </c>
      <c r="AD269" s="321">
        <v>-9.9702777777777779E-2</v>
      </c>
      <c r="AE269" s="266"/>
      <c r="AF269" s="266"/>
      <c r="AG269" s="266"/>
      <c r="AH269" s="266"/>
      <c r="AI269" s="266"/>
      <c r="AJ269" s="266"/>
    </row>
    <row r="270" spans="1:36">
      <c r="A270" s="266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364">
        <v>9</v>
      </c>
      <c r="M270" s="288">
        <v>1E-4</v>
      </c>
      <c r="N270" s="289">
        <v>1E-4</v>
      </c>
      <c r="O270" s="290">
        <v>1.4E-3</v>
      </c>
      <c r="P270" s="291">
        <v>1.4E-3</v>
      </c>
      <c r="Q270" s="292">
        <v>1.4E-3</v>
      </c>
      <c r="R270" s="293">
        <v>1.2999999999999999E-3</v>
      </c>
      <c r="S270" s="295">
        <v>3.7600000000000001E-2</v>
      </c>
      <c r="T270" s="266"/>
      <c r="U270" s="266"/>
      <c r="V270" s="266"/>
      <c r="W270" s="266"/>
      <c r="X270" s="327">
        <f t="shared" si="198"/>
        <v>197</v>
      </c>
      <c r="Y270" s="317">
        <v>21.410302777777776</v>
      </c>
      <c r="Z270" s="317">
        <v>21.245497222222223</v>
      </c>
      <c r="AA270" s="328"/>
      <c r="AB270" s="329">
        <f t="shared" ref="AB270" si="201">AB269+1</f>
        <v>197</v>
      </c>
      <c r="AC270" s="321">
        <v>-9.9702777777777779E-2</v>
      </c>
      <c r="AD270" s="321">
        <v>-0.10123888888888889</v>
      </c>
      <c r="AE270" s="266"/>
      <c r="AF270" s="266"/>
      <c r="AG270" s="266"/>
      <c r="AH270" s="266"/>
      <c r="AI270" s="266"/>
      <c r="AJ270" s="266"/>
    </row>
    <row r="271" spans="1:36">
      <c r="A271" s="266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364">
        <v>10</v>
      </c>
      <c r="M271" s="288">
        <v>1E-4</v>
      </c>
      <c r="N271" s="289">
        <v>1E-4</v>
      </c>
      <c r="O271" s="290">
        <v>1.5E-3</v>
      </c>
      <c r="P271" s="291">
        <v>1.5E-3</v>
      </c>
      <c r="Q271" s="292">
        <v>1.5E-3</v>
      </c>
      <c r="R271" s="293">
        <v>1.4E-3</v>
      </c>
      <c r="S271" s="295">
        <v>4.1799999999999997E-2</v>
      </c>
      <c r="T271" s="266"/>
      <c r="U271" s="266"/>
      <c r="V271" s="266"/>
      <c r="W271" s="266"/>
      <c r="X271" s="327">
        <f t="shared" si="198"/>
        <v>198</v>
      </c>
      <c r="Y271" s="317">
        <v>21.245497222222223</v>
      </c>
      <c r="Z271" s="317">
        <v>21.074691666666666</v>
      </c>
      <c r="AA271" s="328"/>
      <c r="AB271" s="329">
        <f t="shared" ref="AB271" si="202">AB270+1</f>
        <v>198</v>
      </c>
      <c r="AC271" s="321">
        <v>-0.10123888888888889</v>
      </c>
      <c r="AD271" s="321">
        <v>-0.10262777777777779</v>
      </c>
      <c r="AE271" s="266"/>
      <c r="AF271" s="266"/>
      <c r="AG271" s="266"/>
      <c r="AH271" s="266"/>
      <c r="AI271" s="266"/>
      <c r="AJ271" s="266"/>
    </row>
    <row r="272" spans="1:36">
      <c r="A272" s="266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364">
        <v>11</v>
      </c>
      <c r="M272" s="288">
        <v>1E-4</v>
      </c>
      <c r="N272" s="289">
        <v>1E-4</v>
      </c>
      <c r="O272" s="290">
        <v>1.6999999999999999E-3</v>
      </c>
      <c r="P272" s="291">
        <v>1.6999999999999999E-3</v>
      </c>
      <c r="Q272" s="292">
        <v>1.6999999999999999E-3</v>
      </c>
      <c r="R272" s="293">
        <v>1.6000000000000001E-3</v>
      </c>
      <c r="S272" s="295">
        <v>4.5999999999999999E-2</v>
      </c>
      <c r="T272" s="266"/>
      <c r="U272" s="266"/>
      <c r="V272" s="266"/>
      <c r="W272" s="266"/>
      <c r="X272" s="327">
        <f t="shared" si="198"/>
        <v>199</v>
      </c>
      <c r="Y272" s="317">
        <v>21.074691666666666</v>
      </c>
      <c r="Z272" s="317">
        <v>20.897944444444445</v>
      </c>
      <c r="AA272" s="328"/>
      <c r="AB272" s="329">
        <f t="shared" ref="AB272" si="203">AB271+1</f>
        <v>199</v>
      </c>
      <c r="AC272" s="321">
        <v>-0.10262777777777779</v>
      </c>
      <c r="AD272" s="321">
        <v>-0.10386944444444444</v>
      </c>
      <c r="AE272" s="266"/>
      <c r="AF272" s="266"/>
      <c r="AG272" s="266"/>
      <c r="AH272" s="266"/>
      <c r="AI272" s="266"/>
      <c r="AJ272" s="266"/>
    </row>
    <row r="273" spans="1:36">
      <c r="A273" s="266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364">
        <v>12</v>
      </c>
      <c r="M273" s="288">
        <v>1E-4</v>
      </c>
      <c r="N273" s="289">
        <v>1E-4</v>
      </c>
      <c r="O273" s="290">
        <v>1.8E-3</v>
      </c>
      <c r="P273" s="291">
        <v>1.8E-3</v>
      </c>
      <c r="Q273" s="292">
        <v>1.8E-3</v>
      </c>
      <c r="R273" s="293">
        <v>1.6999999999999999E-3</v>
      </c>
      <c r="S273" s="295">
        <v>5.0099999999999999E-2</v>
      </c>
      <c r="T273" s="266"/>
      <c r="U273" s="266"/>
      <c r="V273" s="266"/>
      <c r="W273" s="266"/>
      <c r="X273" s="327">
        <f t="shared" si="198"/>
        <v>200</v>
      </c>
      <c r="Y273" s="317">
        <v>20.897944444444445</v>
      </c>
      <c r="Z273" s="317">
        <v>20.71532222222222</v>
      </c>
      <c r="AA273" s="328"/>
      <c r="AB273" s="329">
        <f t="shared" ref="AB273" si="204">AB272+1</f>
        <v>200</v>
      </c>
      <c r="AC273" s="321">
        <v>-0.10386944444444444</v>
      </c>
      <c r="AD273" s="321">
        <v>-0.10495833333333333</v>
      </c>
      <c r="AE273" s="266"/>
      <c r="AF273" s="266"/>
      <c r="AG273" s="266"/>
      <c r="AH273" s="266"/>
      <c r="AI273" s="266"/>
      <c r="AJ273" s="266"/>
    </row>
    <row r="274" spans="1:36">
      <c r="A274" s="266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364">
        <v>13</v>
      </c>
      <c r="M274" s="288">
        <v>1E-4</v>
      </c>
      <c r="N274" s="289">
        <v>1E-4</v>
      </c>
      <c r="O274" s="290">
        <v>2E-3</v>
      </c>
      <c r="P274" s="291">
        <v>2E-3</v>
      </c>
      <c r="Q274" s="292">
        <v>2E-3</v>
      </c>
      <c r="R274" s="293">
        <v>1.8E-3</v>
      </c>
      <c r="S274" s="295">
        <v>5.4300000000000001E-2</v>
      </c>
      <c r="T274" s="266"/>
      <c r="U274" s="266"/>
      <c r="V274" s="266"/>
      <c r="W274" s="266"/>
      <c r="X274" s="327">
        <f t="shared" si="198"/>
        <v>201</v>
      </c>
      <c r="Y274" s="317">
        <v>20.71532222222222</v>
      </c>
      <c r="Z274" s="317">
        <v>20.526888888888887</v>
      </c>
      <c r="AA274" s="328"/>
      <c r="AB274" s="329">
        <f t="shared" ref="AB274" si="205">AB273+1</f>
        <v>201</v>
      </c>
      <c r="AC274" s="321">
        <v>-0.10495833333333333</v>
      </c>
      <c r="AD274" s="321">
        <v>-0.10589166666666668</v>
      </c>
      <c r="AE274" s="266"/>
      <c r="AF274" s="266"/>
      <c r="AG274" s="266"/>
      <c r="AH274" s="266"/>
      <c r="AI274" s="266"/>
      <c r="AJ274" s="266"/>
    </row>
    <row r="275" spans="1:36">
      <c r="A275" s="266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364">
        <v>14</v>
      </c>
      <c r="M275" s="288">
        <v>2.0000000000000001E-4</v>
      </c>
      <c r="N275" s="289">
        <v>2.0000000000000001E-4</v>
      </c>
      <c r="O275" s="290">
        <v>2.0999999999999999E-3</v>
      </c>
      <c r="P275" s="291">
        <v>2.0999999999999999E-3</v>
      </c>
      <c r="Q275" s="292">
        <v>2.0999999999999999E-3</v>
      </c>
      <c r="R275" s="293">
        <v>2E-3</v>
      </c>
      <c r="S275" s="295">
        <v>5.8500000000000003E-2</v>
      </c>
      <c r="T275" s="266"/>
      <c r="U275" s="266"/>
      <c r="V275" s="266"/>
      <c r="W275" s="266"/>
      <c r="X275" s="327">
        <f t="shared" si="198"/>
        <v>202</v>
      </c>
      <c r="Y275" s="317">
        <v>20.526888888888887</v>
      </c>
      <c r="Z275" s="317">
        <v>20.332716666666666</v>
      </c>
      <c r="AA275" s="328"/>
      <c r="AB275" s="329">
        <f t="shared" ref="AB275" si="206">AB274+1</f>
        <v>202</v>
      </c>
      <c r="AC275" s="321">
        <v>-0.10589166666666668</v>
      </c>
      <c r="AD275" s="321">
        <v>-0.10667222222222222</v>
      </c>
      <c r="AE275" s="266"/>
      <c r="AF275" s="266"/>
      <c r="AG275" s="266"/>
      <c r="AH275" s="266"/>
      <c r="AI275" s="266"/>
      <c r="AJ275" s="266"/>
    </row>
    <row r="276" spans="1:36">
      <c r="A276" s="266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364">
        <v>15</v>
      </c>
      <c r="M276" s="288">
        <v>2.0000000000000001E-4</v>
      </c>
      <c r="N276" s="289">
        <v>2.0000000000000001E-4</v>
      </c>
      <c r="O276" s="290">
        <v>2.3E-3</v>
      </c>
      <c r="P276" s="291">
        <v>2.3E-3</v>
      </c>
      <c r="Q276" s="292">
        <v>2.3E-3</v>
      </c>
      <c r="R276" s="293">
        <v>2.0999999999999999E-3</v>
      </c>
      <c r="S276" s="295">
        <v>6.2700000000000006E-2</v>
      </c>
      <c r="T276" s="266"/>
      <c r="U276" s="266"/>
      <c r="V276" s="266"/>
      <c r="W276" s="266"/>
      <c r="X276" s="327">
        <f t="shared" si="198"/>
        <v>203</v>
      </c>
      <c r="Y276" s="317">
        <v>20.332716666666666</v>
      </c>
      <c r="Z276" s="317">
        <v>20.132869444444445</v>
      </c>
      <c r="AA276" s="328"/>
      <c r="AB276" s="329">
        <f t="shared" ref="AB276" si="207">AB275+1</f>
        <v>203</v>
      </c>
      <c r="AC276" s="321">
        <v>-0.10667222222222222</v>
      </c>
      <c r="AD276" s="321">
        <v>-0.10729166666666667</v>
      </c>
      <c r="AE276" s="266"/>
      <c r="AF276" s="266"/>
      <c r="AG276" s="266"/>
      <c r="AH276" s="266"/>
      <c r="AI276" s="266"/>
      <c r="AJ276" s="266"/>
    </row>
    <row r="277" spans="1:36">
      <c r="A277" s="266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364">
        <v>16</v>
      </c>
      <c r="M277" s="288">
        <v>2.0000000000000001E-4</v>
      </c>
      <c r="N277" s="289">
        <v>2.0000000000000001E-4</v>
      </c>
      <c r="O277" s="290">
        <v>2.3999999999999998E-3</v>
      </c>
      <c r="P277" s="291">
        <v>2.3999999999999998E-3</v>
      </c>
      <c r="Q277" s="292">
        <v>2.3999999999999998E-3</v>
      </c>
      <c r="R277" s="293">
        <v>2.3E-3</v>
      </c>
      <c r="S277" s="295">
        <v>6.6900000000000001E-2</v>
      </c>
      <c r="T277" s="266"/>
      <c r="U277" s="266"/>
      <c r="V277" s="266"/>
      <c r="W277" s="266"/>
      <c r="X277" s="327">
        <f t="shared" si="198"/>
        <v>204</v>
      </c>
      <c r="Y277" s="317">
        <v>20.132869444444445</v>
      </c>
      <c r="Z277" s="317">
        <v>19.927419444444446</v>
      </c>
      <c r="AA277" s="328"/>
      <c r="AB277" s="329">
        <f t="shared" ref="AB277" si="208">AB276+1</f>
        <v>204</v>
      </c>
      <c r="AC277" s="321">
        <v>-0.10729166666666667</v>
      </c>
      <c r="AD277" s="321">
        <v>-0.10775000000000001</v>
      </c>
      <c r="AE277" s="266"/>
      <c r="AF277" s="266"/>
      <c r="AG277" s="266"/>
      <c r="AH277" s="266"/>
      <c r="AI277" s="266"/>
      <c r="AJ277" s="266"/>
    </row>
    <row r="278" spans="1:36">
      <c r="A278" s="266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364">
        <v>17</v>
      </c>
      <c r="M278" s="288">
        <v>2.0000000000000001E-4</v>
      </c>
      <c r="N278" s="289">
        <v>2.0000000000000001E-4</v>
      </c>
      <c r="O278" s="290">
        <v>2.5999999999999999E-3</v>
      </c>
      <c r="P278" s="291">
        <v>2.5999999999999999E-3</v>
      </c>
      <c r="Q278" s="292">
        <v>2.5999999999999999E-3</v>
      </c>
      <c r="R278" s="293">
        <v>2.3999999999999998E-3</v>
      </c>
      <c r="S278" s="295">
        <v>7.0999999999999994E-2</v>
      </c>
      <c r="T278" s="266"/>
      <c r="U278" s="266"/>
      <c r="V278" s="266"/>
      <c r="W278" s="266"/>
      <c r="X278" s="327">
        <f t="shared" si="198"/>
        <v>205</v>
      </c>
      <c r="Y278" s="317">
        <v>19.927419444444446</v>
      </c>
      <c r="Z278" s="317">
        <v>19.716436111111111</v>
      </c>
      <c r="AA278" s="328"/>
      <c r="AB278" s="329">
        <f t="shared" ref="AB278" si="209">AB277+1</f>
        <v>205</v>
      </c>
      <c r="AC278" s="321">
        <v>-0.10775000000000001</v>
      </c>
      <c r="AD278" s="321">
        <v>-0.10804444444444444</v>
      </c>
      <c r="AE278" s="266"/>
      <c r="AF278" s="266"/>
      <c r="AG278" s="266"/>
      <c r="AH278" s="266"/>
      <c r="AI278" s="266"/>
      <c r="AJ278" s="266"/>
    </row>
    <row r="279" spans="1:36">
      <c r="A279" s="266"/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364">
        <v>18</v>
      </c>
      <c r="M279" s="288">
        <v>2.0000000000000001E-4</v>
      </c>
      <c r="N279" s="289">
        <v>2.0000000000000001E-4</v>
      </c>
      <c r="O279" s="290">
        <v>2.7000000000000001E-3</v>
      </c>
      <c r="P279" s="291">
        <v>2.7000000000000001E-3</v>
      </c>
      <c r="Q279" s="292">
        <v>2.8E-3</v>
      </c>
      <c r="R279" s="293">
        <v>2.5000000000000001E-3</v>
      </c>
      <c r="S279" s="295">
        <v>7.5200000000000003E-2</v>
      </c>
      <c r="T279" s="266"/>
      <c r="U279" s="266"/>
      <c r="V279" s="266"/>
      <c r="W279" s="266"/>
      <c r="X279" s="327">
        <f t="shared" si="198"/>
        <v>206</v>
      </c>
      <c r="Y279" s="317">
        <v>19.716436111111111</v>
      </c>
      <c r="Z279" s="317">
        <v>19.499994444444447</v>
      </c>
      <c r="AA279" s="328"/>
      <c r="AB279" s="329">
        <f t="shared" ref="AB279" si="210">AB278+1</f>
        <v>206</v>
      </c>
      <c r="AC279" s="321">
        <v>-0.10804444444444444</v>
      </c>
      <c r="AD279" s="321">
        <v>-0.10817777777777779</v>
      </c>
      <c r="AE279" s="266"/>
      <c r="AF279" s="266"/>
      <c r="AG279" s="266"/>
      <c r="AH279" s="266"/>
      <c r="AI279" s="266"/>
      <c r="AJ279" s="266"/>
    </row>
    <row r="280" spans="1:36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364">
        <v>19</v>
      </c>
      <c r="M280" s="288">
        <v>2.0000000000000001E-4</v>
      </c>
      <c r="N280" s="289">
        <v>2.0000000000000001E-4</v>
      </c>
      <c r="O280" s="290">
        <v>2.8999999999999998E-3</v>
      </c>
      <c r="P280" s="291">
        <v>2.8999999999999998E-3</v>
      </c>
      <c r="Q280" s="292">
        <v>2.8999999999999998E-3</v>
      </c>
      <c r="R280" s="293">
        <v>2.7000000000000001E-3</v>
      </c>
      <c r="S280" s="295">
        <v>7.9399999999999998E-2</v>
      </c>
      <c r="T280" s="266"/>
      <c r="U280" s="266"/>
      <c r="V280" s="266"/>
      <c r="W280" s="266"/>
      <c r="X280" s="327">
        <f t="shared" si="198"/>
        <v>207</v>
      </c>
      <c r="Y280" s="317">
        <v>19.499994444444447</v>
      </c>
      <c r="Z280" s="317">
        <v>19.278169444444444</v>
      </c>
      <c r="AA280" s="328"/>
      <c r="AB280" s="329">
        <f t="shared" ref="AB280" si="211">AB279+1</f>
        <v>207</v>
      </c>
      <c r="AC280" s="321">
        <v>-0.10817777777777779</v>
      </c>
      <c r="AD280" s="321">
        <v>-0.10814444444444445</v>
      </c>
      <c r="AE280" s="266"/>
      <c r="AF280" s="266"/>
      <c r="AG280" s="266"/>
      <c r="AH280" s="266"/>
      <c r="AI280" s="266"/>
      <c r="AJ280" s="266"/>
    </row>
    <row r="281" spans="1:36">
      <c r="A281" s="266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364">
        <v>20</v>
      </c>
      <c r="M281" s="288">
        <v>2.0000000000000001E-4</v>
      </c>
      <c r="N281" s="289">
        <v>2.0000000000000001E-4</v>
      </c>
      <c r="O281" s="290">
        <v>3.0999999999999999E-3</v>
      </c>
      <c r="P281" s="291">
        <v>3.0000000000000001E-3</v>
      </c>
      <c r="Q281" s="292">
        <v>3.0999999999999999E-3</v>
      </c>
      <c r="R281" s="293">
        <v>2.8E-3</v>
      </c>
      <c r="S281" s="295">
        <v>8.3599999999999994E-2</v>
      </c>
      <c r="T281" s="266"/>
      <c r="U281" s="266"/>
      <c r="V281" s="266"/>
      <c r="W281" s="266"/>
      <c r="X281" s="327">
        <f t="shared" si="198"/>
        <v>208</v>
      </c>
      <c r="Y281" s="317">
        <v>19.278169444444444</v>
      </c>
      <c r="Z281" s="317">
        <v>19.051033333333333</v>
      </c>
      <c r="AA281" s="328"/>
      <c r="AB281" s="329">
        <f t="shared" ref="AB281" si="212">AB280+1</f>
        <v>208</v>
      </c>
      <c r="AC281" s="321">
        <v>-0.10814444444444445</v>
      </c>
      <c r="AD281" s="321">
        <v>-0.10794166666666667</v>
      </c>
      <c r="AE281" s="266"/>
      <c r="AF281" s="266"/>
      <c r="AG281" s="266"/>
      <c r="AH281" s="266"/>
      <c r="AI281" s="266"/>
      <c r="AJ281" s="266"/>
    </row>
    <row r="282" spans="1:36">
      <c r="A282" s="266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364">
        <v>21</v>
      </c>
      <c r="M282" s="288">
        <v>2.0000000000000001E-4</v>
      </c>
      <c r="N282" s="289">
        <v>2.0000000000000001E-4</v>
      </c>
      <c r="O282" s="290">
        <v>3.2000000000000002E-3</v>
      </c>
      <c r="P282" s="291">
        <v>3.2000000000000002E-3</v>
      </c>
      <c r="Q282" s="292">
        <v>3.2000000000000002E-3</v>
      </c>
      <c r="R282" s="293">
        <v>3.0000000000000001E-3</v>
      </c>
      <c r="S282" s="295">
        <v>8.77E-2</v>
      </c>
      <c r="T282" s="266"/>
      <c r="U282" s="266"/>
      <c r="V282" s="266"/>
      <c r="W282" s="266"/>
      <c r="X282" s="327">
        <f t="shared" si="198"/>
        <v>209</v>
      </c>
      <c r="Y282" s="317">
        <v>19.051033333333333</v>
      </c>
      <c r="Z282" s="317">
        <v>18.818661111111112</v>
      </c>
      <c r="AA282" s="328"/>
      <c r="AB282" s="329">
        <f t="shared" ref="AB282" si="213">AB281+1</f>
        <v>209</v>
      </c>
      <c r="AC282" s="321">
        <v>-0.10794166666666667</v>
      </c>
      <c r="AD282" s="321">
        <v>-0.107575</v>
      </c>
      <c r="AE282" s="266"/>
      <c r="AF282" s="266"/>
      <c r="AG282" s="266"/>
      <c r="AH282" s="266"/>
      <c r="AI282" s="266"/>
      <c r="AJ282" s="266"/>
    </row>
    <row r="283" spans="1:36">
      <c r="A283" s="266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364">
        <v>22</v>
      </c>
      <c r="M283" s="288">
        <v>2.9999999999999997E-4</v>
      </c>
      <c r="N283" s="289">
        <v>2.9999999999999997E-4</v>
      </c>
      <c r="O283" s="290">
        <v>3.3999999999999998E-3</v>
      </c>
      <c r="P283" s="291">
        <v>3.3E-3</v>
      </c>
      <c r="Q283" s="292">
        <v>3.3999999999999998E-3</v>
      </c>
      <c r="R283" s="293">
        <v>3.0999999999999999E-3</v>
      </c>
      <c r="S283" s="295">
        <v>9.1899999999999996E-2</v>
      </c>
      <c r="T283" s="266"/>
      <c r="U283" s="266"/>
      <c r="V283" s="266"/>
      <c r="W283" s="266"/>
      <c r="X283" s="327">
        <f t="shared" si="198"/>
        <v>210</v>
      </c>
      <c r="Y283" s="317">
        <v>18.818661111111112</v>
      </c>
      <c r="Z283" s="317">
        <v>18.581133333333334</v>
      </c>
      <c r="AA283" s="328"/>
      <c r="AB283" s="329">
        <f t="shared" ref="AB283" si="214">AB282+1</f>
        <v>210</v>
      </c>
      <c r="AC283" s="321">
        <v>-0.107575</v>
      </c>
      <c r="AD283" s="321">
        <v>-0.10703888888888889</v>
      </c>
      <c r="AE283" s="266"/>
      <c r="AF283" s="266"/>
      <c r="AG283" s="266"/>
      <c r="AH283" s="266"/>
      <c r="AI283" s="266"/>
      <c r="AJ283" s="266"/>
    </row>
    <row r="284" spans="1:36">
      <c r="A284" s="266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364">
        <v>23</v>
      </c>
      <c r="M284" s="288">
        <v>2.9999999999999997E-4</v>
      </c>
      <c r="N284" s="289">
        <v>2.9999999999999997E-4</v>
      </c>
      <c r="O284" s="290">
        <v>3.5000000000000001E-3</v>
      </c>
      <c r="P284" s="291">
        <v>3.5000000000000001E-3</v>
      </c>
      <c r="Q284" s="292">
        <v>3.5000000000000001E-3</v>
      </c>
      <c r="R284" s="293">
        <v>3.2000000000000002E-3</v>
      </c>
      <c r="S284" s="295">
        <v>9.6100000000000005E-2</v>
      </c>
      <c r="T284" s="266"/>
      <c r="U284" s="266"/>
      <c r="V284" s="266"/>
      <c r="W284" s="266"/>
      <c r="X284" s="327">
        <f t="shared" si="198"/>
        <v>211</v>
      </c>
      <c r="Y284" s="317">
        <v>18.581133333333334</v>
      </c>
      <c r="Z284" s="317">
        <v>18.338527777777777</v>
      </c>
      <c r="AA284" s="328"/>
      <c r="AB284" s="329">
        <f t="shared" ref="AB284" si="215">AB283+1</f>
        <v>211</v>
      </c>
      <c r="AC284" s="321">
        <v>-0.10703888888888889</v>
      </c>
      <c r="AD284" s="321">
        <v>-0.10633333333333334</v>
      </c>
      <c r="AE284" s="266"/>
      <c r="AF284" s="266"/>
      <c r="AG284" s="266"/>
      <c r="AH284" s="266"/>
      <c r="AI284" s="266"/>
      <c r="AJ284" s="266"/>
    </row>
    <row r="285" spans="1:36">
      <c r="A285" s="266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364">
        <v>24</v>
      </c>
      <c r="M285" s="288">
        <v>2.9999999999999997E-4</v>
      </c>
      <c r="N285" s="289">
        <v>2.9999999999999997E-4</v>
      </c>
      <c r="O285" s="290">
        <v>3.7000000000000002E-3</v>
      </c>
      <c r="P285" s="291">
        <v>3.5999999999999999E-3</v>
      </c>
      <c r="Q285" s="292">
        <v>3.7000000000000002E-3</v>
      </c>
      <c r="R285" s="293">
        <v>3.3999999999999998E-3</v>
      </c>
      <c r="S285" s="295">
        <v>0.1003</v>
      </c>
      <c r="T285" s="266"/>
      <c r="U285" s="266"/>
      <c r="V285" s="266"/>
      <c r="W285" s="266"/>
      <c r="X285" s="327">
        <f t="shared" si="198"/>
        <v>212</v>
      </c>
      <c r="Y285" s="317">
        <v>18.338527777777777</v>
      </c>
      <c r="Z285" s="317">
        <v>18.090919444444442</v>
      </c>
      <c r="AA285" s="328"/>
      <c r="AB285" s="329">
        <f t="shared" ref="AB285" si="216">AB284+1</f>
        <v>212</v>
      </c>
      <c r="AC285" s="321">
        <v>-0.10633333333333334</v>
      </c>
      <c r="AD285" s="321">
        <v>-0.10546111111111112</v>
      </c>
      <c r="AE285" s="266"/>
      <c r="AF285" s="266"/>
      <c r="AG285" s="266"/>
      <c r="AH285" s="266"/>
      <c r="AI285" s="266"/>
      <c r="AJ285" s="266"/>
    </row>
    <row r="286" spans="1:36">
      <c r="A286" s="266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364">
        <v>25</v>
      </c>
      <c r="M286" s="288">
        <v>2.9999999999999997E-4</v>
      </c>
      <c r="N286" s="289">
        <v>2.9999999999999997E-4</v>
      </c>
      <c r="O286" s="290">
        <v>3.8E-3</v>
      </c>
      <c r="P286" s="291">
        <v>3.8E-3</v>
      </c>
      <c r="Q286" s="292">
        <v>3.8E-3</v>
      </c>
      <c r="R286" s="293">
        <v>3.5000000000000001E-3</v>
      </c>
      <c r="S286" s="295">
        <v>0.1045</v>
      </c>
      <c r="T286" s="266"/>
      <c r="U286" s="266"/>
      <c r="V286" s="266"/>
      <c r="W286" s="266"/>
      <c r="X286" s="327">
        <f t="shared" si="198"/>
        <v>213</v>
      </c>
      <c r="Y286" s="317">
        <v>18.090919444444442</v>
      </c>
      <c r="Z286" s="317">
        <v>17.838388888888886</v>
      </c>
      <c r="AA286" s="328"/>
      <c r="AB286" s="329">
        <f t="shared" ref="AB286" si="217">AB285+1</f>
        <v>213</v>
      </c>
      <c r="AC286" s="321">
        <v>-0.10546111111111112</v>
      </c>
      <c r="AD286" s="321">
        <v>-0.10441944444444445</v>
      </c>
      <c r="AE286" s="266"/>
      <c r="AF286" s="266"/>
      <c r="AG286" s="266"/>
      <c r="AH286" s="266"/>
      <c r="AI286" s="266"/>
      <c r="AJ286" s="266"/>
    </row>
    <row r="287" spans="1:36">
      <c r="A287" s="266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364">
        <v>26</v>
      </c>
      <c r="M287" s="288">
        <v>2.9999999999999997E-4</v>
      </c>
      <c r="N287" s="289">
        <v>2.9999999999999997E-4</v>
      </c>
      <c r="O287" s="290">
        <v>4.0000000000000001E-3</v>
      </c>
      <c r="P287" s="291">
        <v>3.8999999999999998E-3</v>
      </c>
      <c r="Q287" s="292">
        <v>4.0000000000000001E-3</v>
      </c>
      <c r="R287" s="293">
        <v>3.7000000000000002E-3</v>
      </c>
      <c r="S287" s="295">
        <v>0.1086</v>
      </c>
      <c r="T287" s="266"/>
      <c r="U287" s="266"/>
      <c r="V287" s="266"/>
      <c r="W287" s="266"/>
      <c r="X287" s="327">
        <f t="shared" si="198"/>
        <v>214</v>
      </c>
      <c r="Y287" s="317">
        <v>17.838388888888886</v>
      </c>
      <c r="Z287" s="317">
        <v>17.581019444444443</v>
      </c>
      <c r="AA287" s="328"/>
      <c r="AB287" s="329">
        <f t="shared" ref="AB287" si="218">AB286+1</f>
        <v>214</v>
      </c>
      <c r="AC287" s="321">
        <v>-0.10441944444444445</v>
      </c>
      <c r="AD287" s="321">
        <v>-0.10320833333333333</v>
      </c>
      <c r="AE287" s="266"/>
      <c r="AF287" s="266"/>
      <c r="AG287" s="266"/>
      <c r="AH287" s="266"/>
      <c r="AI287" s="266"/>
      <c r="AJ287" s="266"/>
    </row>
    <row r="288" spans="1:36">
      <c r="A288" s="266"/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364">
        <v>27</v>
      </c>
      <c r="M288" s="288">
        <v>2.9999999999999997E-4</v>
      </c>
      <c r="N288" s="289">
        <v>2.9999999999999997E-4</v>
      </c>
      <c r="O288" s="290">
        <v>4.1000000000000003E-3</v>
      </c>
      <c r="P288" s="291">
        <v>4.1000000000000003E-3</v>
      </c>
      <c r="Q288" s="292">
        <v>4.1000000000000003E-3</v>
      </c>
      <c r="R288" s="293">
        <v>3.8E-3</v>
      </c>
      <c r="S288" s="295">
        <v>0.1128</v>
      </c>
      <c r="T288" s="266"/>
      <c r="U288" s="266"/>
      <c r="V288" s="266"/>
      <c r="W288" s="266"/>
      <c r="X288" s="327">
        <f t="shared" si="198"/>
        <v>215</v>
      </c>
      <c r="Y288" s="317">
        <v>17.581019444444443</v>
      </c>
      <c r="Z288" s="317">
        <v>17.318891666666666</v>
      </c>
      <c r="AA288" s="328"/>
      <c r="AB288" s="329">
        <f t="shared" ref="AB288" si="219">AB287+1</f>
        <v>215</v>
      </c>
      <c r="AC288" s="321">
        <v>-0.10320833333333333</v>
      </c>
      <c r="AD288" s="321">
        <v>-0.10182777777777778</v>
      </c>
      <c r="AE288" s="266"/>
      <c r="AF288" s="266"/>
      <c r="AG288" s="266"/>
      <c r="AH288" s="266"/>
      <c r="AI288" s="266"/>
      <c r="AJ288" s="266"/>
    </row>
    <row r="289" spans="1:36">
      <c r="A289" s="266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364">
        <v>28</v>
      </c>
      <c r="M289" s="288">
        <v>2.9999999999999997E-4</v>
      </c>
      <c r="N289" s="289">
        <v>2.9999999999999997E-4</v>
      </c>
      <c r="O289" s="290">
        <v>4.3E-3</v>
      </c>
      <c r="P289" s="291">
        <v>4.1999999999999997E-3</v>
      </c>
      <c r="Q289" s="292">
        <v>4.3E-3</v>
      </c>
      <c r="R289" s="293">
        <v>4.0000000000000001E-3</v>
      </c>
      <c r="S289" s="295">
        <v>0.11700000000000001</v>
      </c>
      <c r="T289" s="266"/>
      <c r="U289" s="266"/>
      <c r="V289" s="266"/>
      <c r="W289" s="266"/>
      <c r="X289" s="327">
        <f t="shared" si="198"/>
        <v>216</v>
      </c>
      <c r="Y289" s="317">
        <v>17.318891666666666</v>
      </c>
      <c r="Z289" s="317">
        <v>17.052083333333336</v>
      </c>
      <c r="AA289" s="328"/>
      <c r="AB289" s="329">
        <f t="shared" ref="AB289" si="220">AB288+1</f>
        <v>216</v>
      </c>
      <c r="AC289" s="321">
        <v>-0.10182777777777778</v>
      </c>
      <c r="AD289" s="321">
        <v>-0.10028055555555557</v>
      </c>
      <c r="AE289" s="266"/>
      <c r="AF289" s="266"/>
      <c r="AG289" s="266"/>
      <c r="AH289" s="266"/>
      <c r="AI289" s="266"/>
      <c r="AJ289" s="266"/>
    </row>
    <row r="290" spans="1:36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364">
        <v>29</v>
      </c>
      <c r="M290" s="288">
        <v>2.9999999999999997E-4</v>
      </c>
      <c r="N290" s="289">
        <v>2.9999999999999997E-4</v>
      </c>
      <c r="O290" s="290">
        <v>4.4000000000000003E-3</v>
      </c>
      <c r="P290" s="291">
        <v>4.4000000000000003E-3</v>
      </c>
      <c r="Q290" s="292">
        <v>4.4000000000000003E-3</v>
      </c>
      <c r="R290" s="293">
        <v>4.1000000000000003E-3</v>
      </c>
      <c r="S290" s="295">
        <v>0.1212</v>
      </c>
      <c r="T290" s="266"/>
      <c r="U290" s="266"/>
      <c r="V290" s="266"/>
      <c r="W290" s="266"/>
      <c r="X290" s="327">
        <f t="shared" si="198"/>
        <v>217</v>
      </c>
      <c r="Y290" s="317">
        <v>17.052083333333336</v>
      </c>
      <c r="Z290" s="317">
        <v>16.780683333333332</v>
      </c>
      <c r="AA290" s="328"/>
      <c r="AB290" s="329">
        <f t="shared" ref="AB290" si="221">AB289+1</f>
        <v>217</v>
      </c>
      <c r="AC290" s="321">
        <v>-0.10028055555555557</v>
      </c>
      <c r="AD290" s="321">
        <v>-9.8566666666666664E-2</v>
      </c>
      <c r="AE290" s="266"/>
      <c r="AF290" s="266"/>
      <c r="AG290" s="266"/>
      <c r="AH290" s="266"/>
      <c r="AI290" s="266"/>
      <c r="AJ290" s="266"/>
    </row>
    <row r="291" spans="1:36">
      <c r="A291" s="266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364">
        <v>30</v>
      </c>
      <c r="M291" s="288">
        <v>2.9999999999999997E-4</v>
      </c>
      <c r="N291" s="289">
        <v>2.9999999999999997E-4</v>
      </c>
      <c r="O291" s="290">
        <v>4.5999999999999999E-3</v>
      </c>
      <c r="P291" s="291">
        <v>4.4999999999999997E-3</v>
      </c>
      <c r="Q291" s="292">
        <v>4.5999999999999999E-3</v>
      </c>
      <c r="R291" s="293">
        <v>4.1999999999999997E-3</v>
      </c>
      <c r="S291" s="295">
        <v>0.12529999999999999</v>
      </c>
      <c r="T291" s="266"/>
      <c r="U291" s="266"/>
      <c r="V291" s="266"/>
      <c r="W291" s="266"/>
      <c r="X291" s="327">
        <f t="shared" si="198"/>
        <v>218</v>
      </c>
      <c r="Y291" s="317">
        <v>16.780683333333332</v>
      </c>
      <c r="Z291" s="317">
        <v>16.504766666666665</v>
      </c>
      <c r="AA291" s="328"/>
      <c r="AB291" s="329">
        <f t="shared" ref="AB291" si="222">AB290+1</f>
        <v>218</v>
      </c>
      <c r="AC291" s="321">
        <v>-9.8566666666666664E-2</v>
      </c>
      <c r="AD291" s="321">
        <v>-9.668888888888888E-2</v>
      </c>
      <c r="AE291" s="266"/>
      <c r="AF291" s="266"/>
      <c r="AG291" s="266"/>
      <c r="AH291" s="266"/>
      <c r="AI291" s="266"/>
      <c r="AJ291" s="266"/>
    </row>
    <row r="292" spans="1:36">
      <c r="A292" s="266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364">
        <v>31</v>
      </c>
      <c r="M292" s="288">
        <v>4.0000000000000002E-4</v>
      </c>
      <c r="N292" s="289">
        <v>4.0000000000000002E-4</v>
      </c>
      <c r="O292" s="290">
        <v>4.7000000000000002E-3</v>
      </c>
      <c r="P292" s="291">
        <v>4.7000000000000002E-3</v>
      </c>
      <c r="Q292" s="292">
        <v>4.7000000000000002E-3</v>
      </c>
      <c r="R292" s="293">
        <v>4.4000000000000003E-3</v>
      </c>
      <c r="S292" s="295">
        <v>0.1295</v>
      </c>
      <c r="T292" s="266"/>
      <c r="U292" s="266"/>
      <c r="V292" s="266"/>
      <c r="W292" s="266"/>
      <c r="X292" s="327">
        <f t="shared" si="198"/>
        <v>219</v>
      </c>
      <c r="Y292" s="317">
        <v>16.504766666666665</v>
      </c>
      <c r="Z292" s="317">
        <v>16.224425</v>
      </c>
      <c r="AA292" s="328"/>
      <c r="AB292" s="329">
        <f t="shared" ref="AB292" si="223">AB291+1</f>
        <v>219</v>
      </c>
      <c r="AC292" s="321">
        <v>-9.668888888888888E-2</v>
      </c>
      <c r="AD292" s="321">
        <v>-9.4644444444444434E-2</v>
      </c>
      <c r="AE292" s="266"/>
      <c r="AF292" s="266"/>
      <c r="AG292" s="266"/>
      <c r="AH292" s="266"/>
      <c r="AI292" s="266"/>
      <c r="AJ292" s="266"/>
    </row>
    <row r="293" spans="1:36">
      <c r="A293" s="266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364">
        <v>32</v>
      </c>
      <c r="M293" s="288">
        <v>4.0000000000000002E-4</v>
      </c>
      <c r="N293" s="289">
        <v>4.0000000000000002E-4</v>
      </c>
      <c r="O293" s="290">
        <v>4.8999999999999998E-3</v>
      </c>
      <c r="P293" s="291">
        <v>4.7999999999999996E-3</v>
      </c>
      <c r="Q293" s="292">
        <v>4.8999999999999998E-3</v>
      </c>
      <c r="R293" s="293">
        <v>4.4999999999999997E-3</v>
      </c>
      <c r="S293" s="295">
        <v>0.13370000000000001</v>
      </c>
      <c r="T293" s="266"/>
      <c r="U293" s="266"/>
      <c r="V293" s="266"/>
      <c r="W293" s="266"/>
      <c r="X293" s="327">
        <f t="shared" si="198"/>
        <v>220</v>
      </c>
      <c r="Y293" s="317">
        <v>16.224425</v>
      </c>
      <c r="Z293" s="317">
        <v>15.939736111111111</v>
      </c>
      <c r="AA293" s="328"/>
      <c r="AB293" s="329">
        <f t="shared" ref="AB293" si="224">AB292+1</f>
        <v>220</v>
      </c>
      <c r="AC293" s="321">
        <v>-9.4644444444444434E-2</v>
      </c>
      <c r="AD293" s="321">
        <v>-9.2436111111111108E-2</v>
      </c>
      <c r="AE293" s="266"/>
      <c r="AF293" s="266"/>
      <c r="AG293" s="266"/>
      <c r="AH293" s="266"/>
      <c r="AI293" s="266"/>
      <c r="AJ293" s="266"/>
    </row>
    <row r="294" spans="1:36">
      <c r="A294" s="266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364">
        <v>33</v>
      </c>
      <c r="M294" s="288">
        <v>4.0000000000000002E-4</v>
      </c>
      <c r="N294" s="289">
        <v>4.0000000000000002E-4</v>
      </c>
      <c r="O294" s="290">
        <v>5.0000000000000001E-3</v>
      </c>
      <c r="P294" s="291">
        <v>5.0000000000000001E-3</v>
      </c>
      <c r="Q294" s="292">
        <v>5.1000000000000004E-3</v>
      </c>
      <c r="R294" s="293">
        <v>4.7000000000000002E-3</v>
      </c>
      <c r="S294" s="295">
        <v>0.13789999999999999</v>
      </c>
      <c r="T294" s="266"/>
      <c r="U294" s="266"/>
      <c r="V294" s="266"/>
      <c r="W294" s="266"/>
      <c r="X294" s="327">
        <f t="shared" si="198"/>
        <v>221</v>
      </c>
      <c r="Y294" s="317">
        <v>15.939736111111111</v>
      </c>
      <c r="Z294" s="317">
        <v>15.65078888888889</v>
      </c>
      <c r="AA294" s="328"/>
      <c r="AB294" s="329">
        <f t="shared" ref="AB294" si="225">AB293+1</f>
        <v>221</v>
      </c>
      <c r="AC294" s="321">
        <v>-9.2436111111111108E-2</v>
      </c>
      <c r="AD294" s="321">
        <v>-9.0066666666666656E-2</v>
      </c>
      <c r="AE294" s="266"/>
      <c r="AF294" s="266"/>
      <c r="AG294" s="266"/>
      <c r="AH294" s="266"/>
      <c r="AI294" s="266"/>
      <c r="AJ294" s="266"/>
    </row>
    <row r="295" spans="1:36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364">
        <v>34</v>
      </c>
      <c r="M295" s="288">
        <v>4.0000000000000002E-4</v>
      </c>
      <c r="N295" s="289">
        <v>4.0000000000000002E-4</v>
      </c>
      <c r="O295" s="290">
        <v>5.1999999999999998E-3</v>
      </c>
      <c r="P295" s="291">
        <v>5.1000000000000004E-3</v>
      </c>
      <c r="Q295" s="292">
        <v>5.1999999999999998E-3</v>
      </c>
      <c r="R295" s="293">
        <v>4.7999999999999996E-3</v>
      </c>
      <c r="S295" s="295">
        <v>0.1421</v>
      </c>
      <c r="T295" s="266"/>
      <c r="U295" s="266"/>
      <c r="V295" s="266"/>
      <c r="W295" s="266"/>
      <c r="X295" s="327">
        <f t="shared" si="198"/>
        <v>222</v>
      </c>
      <c r="Y295" s="317">
        <v>15.65078888888889</v>
      </c>
      <c r="Z295" s="317">
        <v>15.357666666666667</v>
      </c>
      <c r="AA295" s="328"/>
      <c r="AB295" s="329">
        <f t="shared" ref="AB295" si="226">AB294+1</f>
        <v>222</v>
      </c>
      <c r="AC295" s="321">
        <v>-9.0066666666666656E-2</v>
      </c>
      <c r="AD295" s="321">
        <v>-8.7538888888888888E-2</v>
      </c>
      <c r="AE295" s="266"/>
      <c r="AF295" s="266"/>
      <c r="AG295" s="266"/>
      <c r="AH295" s="266"/>
      <c r="AI295" s="266"/>
      <c r="AJ295" s="266"/>
    </row>
    <row r="296" spans="1:36">
      <c r="A296" s="266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364">
        <v>35</v>
      </c>
      <c r="M296" s="288">
        <v>4.0000000000000002E-4</v>
      </c>
      <c r="N296" s="289">
        <v>4.0000000000000002E-4</v>
      </c>
      <c r="O296" s="290">
        <v>5.3E-3</v>
      </c>
      <c r="P296" s="291">
        <v>5.3E-3</v>
      </c>
      <c r="Q296" s="292">
        <v>5.4000000000000003E-3</v>
      </c>
      <c r="R296" s="293">
        <v>4.8999999999999998E-3</v>
      </c>
      <c r="S296" s="295">
        <v>0.1462</v>
      </c>
      <c r="T296" s="266"/>
      <c r="U296" s="266"/>
      <c r="V296" s="266"/>
      <c r="W296" s="266"/>
      <c r="X296" s="327">
        <f t="shared" si="198"/>
        <v>223</v>
      </c>
      <c r="Y296" s="317">
        <v>15.357666666666667</v>
      </c>
      <c r="Z296" s="317">
        <v>15.060452777777778</v>
      </c>
      <c r="AA296" s="328"/>
      <c r="AB296" s="329">
        <f t="shared" ref="AB296" si="227">AB295+1</f>
        <v>223</v>
      </c>
      <c r="AC296" s="321">
        <v>-8.7538888888888888E-2</v>
      </c>
      <c r="AD296" s="321">
        <v>-8.4849999999999995E-2</v>
      </c>
      <c r="AE296" s="266"/>
      <c r="AF296" s="266"/>
      <c r="AG296" s="266"/>
      <c r="AH296" s="266"/>
      <c r="AI296" s="266"/>
      <c r="AJ296" s="266"/>
    </row>
    <row r="297" spans="1:36">
      <c r="A297" s="266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364">
        <v>36</v>
      </c>
      <c r="M297" s="288">
        <v>4.0000000000000002E-4</v>
      </c>
      <c r="N297" s="289">
        <v>4.0000000000000002E-4</v>
      </c>
      <c r="O297" s="290">
        <v>5.4999999999999997E-3</v>
      </c>
      <c r="P297" s="291">
        <v>5.4000000000000003E-3</v>
      </c>
      <c r="Q297" s="292">
        <v>5.4999999999999997E-3</v>
      </c>
      <c r="R297" s="293">
        <v>5.1000000000000004E-3</v>
      </c>
      <c r="S297" s="295">
        <v>0.15040000000000001</v>
      </c>
      <c r="T297" s="266"/>
      <c r="U297" s="266"/>
      <c r="V297" s="266"/>
      <c r="W297" s="266"/>
      <c r="X297" s="327">
        <f t="shared" si="198"/>
        <v>224</v>
      </c>
      <c r="Y297" s="317">
        <v>15.060452777777778</v>
      </c>
      <c r="Z297" s="317">
        <v>14.759238888888889</v>
      </c>
      <c r="AA297" s="328"/>
      <c r="AB297" s="329">
        <f t="shared" ref="AB297" si="228">AB296+1</f>
        <v>224</v>
      </c>
      <c r="AC297" s="321">
        <v>-8.4849999999999995E-2</v>
      </c>
      <c r="AD297" s="321">
        <v>-8.2008333333333336E-2</v>
      </c>
      <c r="AE297" s="266"/>
      <c r="AF297" s="266"/>
      <c r="AG297" s="266"/>
      <c r="AH297" s="266"/>
      <c r="AI297" s="266"/>
      <c r="AJ297" s="266"/>
    </row>
    <row r="298" spans="1:36">
      <c r="A298" s="266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364">
        <v>37</v>
      </c>
      <c r="M298" s="288">
        <v>4.0000000000000002E-4</v>
      </c>
      <c r="N298" s="289">
        <v>4.0000000000000002E-4</v>
      </c>
      <c r="O298" s="290">
        <v>5.5999999999999999E-3</v>
      </c>
      <c r="P298" s="291">
        <v>5.5999999999999999E-3</v>
      </c>
      <c r="Q298" s="292">
        <v>5.7000000000000002E-3</v>
      </c>
      <c r="R298" s="293">
        <v>5.1999999999999998E-3</v>
      </c>
      <c r="S298" s="295">
        <v>0.15459999999999999</v>
      </c>
      <c r="T298" s="266"/>
      <c r="U298" s="266"/>
      <c r="V298" s="266"/>
      <c r="W298" s="266"/>
      <c r="X298" s="327">
        <f t="shared" si="198"/>
        <v>225</v>
      </c>
      <c r="Y298" s="317">
        <v>14.759238888888889</v>
      </c>
      <c r="Z298" s="317">
        <v>14.454102777777777</v>
      </c>
      <c r="AA298" s="328"/>
      <c r="AB298" s="329">
        <f t="shared" ref="AB298" si="229">AB297+1</f>
        <v>225</v>
      </c>
      <c r="AC298" s="321">
        <v>-8.2008333333333336E-2</v>
      </c>
      <c r="AD298" s="321">
        <v>-7.9011111111111115E-2</v>
      </c>
      <c r="AE298" s="266"/>
      <c r="AF298" s="266"/>
      <c r="AG298" s="266"/>
      <c r="AH298" s="266"/>
      <c r="AI298" s="266"/>
      <c r="AJ298" s="266"/>
    </row>
    <row r="299" spans="1:36">
      <c r="A299" s="266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364">
        <v>38</v>
      </c>
      <c r="M299" s="288">
        <v>4.0000000000000002E-4</v>
      </c>
      <c r="N299" s="289">
        <v>4.0000000000000002E-4</v>
      </c>
      <c r="O299" s="290">
        <v>5.7999999999999996E-3</v>
      </c>
      <c r="P299" s="291">
        <v>5.7000000000000002E-3</v>
      </c>
      <c r="Q299" s="292">
        <v>5.7999999999999996E-3</v>
      </c>
      <c r="R299" s="293">
        <v>5.4000000000000003E-3</v>
      </c>
      <c r="S299" s="295">
        <v>0.1588</v>
      </c>
      <c r="T299" s="266"/>
      <c r="U299" s="266"/>
      <c r="V299" s="266"/>
      <c r="W299" s="266"/>
      <c r="X299" s="327">
        <f t="shared" si="198"/>
        <v>226</v>
      </c>
      <c r="Y299" s="317">
        <v>14.454102777777777</v>
      </c>
      <c r="Z299" s="317">
        <v>14.145138888888889</v>
      </c>
      <c r="AA299" s="328"/>
      <c r="AB299" s="329">
        <f t="shared" ref="AB299" si="230">AB298+1</f>
        <v>226</v>
      </c>
      <c r="AC299" s="321">
        <v>-7.9011111111111115E-2</v>
      </c>
      <c r="AD299" s="321">
        <v>-7.5863888888888883E-2</v>
      </c>
      <c r="AE299" s="266"/>
      <c r="AF299" s="266"/>
      <c r="AG299" s="266"/>
      <c r="AH299" s="266"/>
      <c r="AI299" s="266"/>
      <c r="AJ299" s="266"/>
    </row>
    <row r="300" spans="1:36">
      <c r="A300" s="266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364">
        <v>39</v>
      </c>
      <c r="M300" s="288">
        <v>4.0000000000000002E-4</v>
      </c>
      <c r="N300" s="289">
        <v>4.0000000000000002E-4</v>
      </c>
      <c r="O300" s="290">
        <v>5.8999999999999999E-3</v>
      </c>
      <c r="P300" s="291">
        <v>5.8999999999999999E-3</v>
      </c>
      <c r="Q300" s="292">
        <v>6.0000000000000001E-3</v>
      </c>
      <c r="R300" s="293">
        <v>5.4999999999999997E-3</v>
      </c>
      <c r="S300" s="295">
        <v>0.16289999999999999</v>
      </c>
      <c r="T300" s="266"/>
      <c r="U300" s="266"/>
      <c r="V300" s="266"/>
      <c r="W300" s="266"/>
      <c r="X300" s="327">
        <f t="shared" si="198"/>
        <v>227</v>
      </c>
      <c r="Y300" s="317">
        <v>14.145138888888889</v>
      </c>
      <c r="Z300" s="317">
        <v>13.832427777777777</v>
      </c>
      <c r="AA300" s="328"/>
      <c r="AB300" s="329">
        <f t="shared" ref="AB300" si="231">AB299+1</f>
        <v>227</v>
      </c>
      <c r="AC300" s="321">
        <v>-7.5863888888888883E-2</v>
      </c>
      <c r="AD300" s="321">
        <v>-7.2566666666666668E-2</v>
      </c>
      <c r="AE300" s="266"/>
      <c r="AF300" s="266"/>
      <c r="AG300" s="266"/>
      <c r="AH300" s="266"/>
      <c r="AI300" s="266"/>
      <c r="AJ300" s="266"/>
    </row>
    <row r="301" spans="1:36">
      <c r="A301" s="266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364">
        <v>40</v>
      </c>
      <c r="M301" s="288">
        <v>5.0000000000000001E-4</v>
      </c>
      <c r="N301" s="289">
        <v>5.0000000000000001E-4</v>
      </c>
      <c r="O301" s="290">
        <v>6.1000000000000004E-3</v>
      </c>
      <c r="P301" s="291">
        <v>6.0000000000000001E-3</v>
      </c>
      <c r="Q301" s="292">
        <v>6.1000000000000004E-3</v>
      </c>
      <c r="R301" s="293">
        <v>5.5999999999999999E-3</v>
      </c>
      <c r="S301" s="295">
        <v>0.1671</v>
      </c>
      <c r="T301" s="266"/>
      <c r="U301" s="266"/>
      <c r="V301" s="266"/>
      <c r="W301" s="266"/>
      <c r="X301" s="327">
        <f t="shared" si="198"/>
        <v>228</v>
      </c>
      <c r="Y301" s="317">
        <v>13.832427777777777</v>
      </c>
      <c r="Z301" s="317">
        <v>13.516061111111112</v>
      </c>
      <c r="AA301" s="328"/>
      <c r="AB301" s="329">
        <f t="shared" ref="AB301" si="232">AB300+1</f>
        <v>228</v>
      </c>
      <c r="AC301" s="321">
        <v>-7.2566666666666668E-2</v>
      </c>
      <c r="AD301" s="321">
        <v>-6.9124999999999992E-2</v>
      </c>
      <c r="AE301" s="266"/>
      <c r="AF301" s="266"/>
      <c r="AG301" s="266"/>
      <c r="AH301" s="266"/>
      <c r="AI301" s="266"/>
      <c r="AJ301" s="266"/>
    </row>
    <row r="302" spans="1:36">
      <c r="A302" s="266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364">
        <v>41</v>
      </c>
      <c r="M302" s="288">
        <v>5.0000000000000001E-4</v>
      </c>
      <c r="N302" s="289">
        <v>5.0000000000000001E-4</v>
      </c>
      <c r="O302" s="290">
        <v>6.3E-3</v>
      </c>
      <c r="P302" s="291">
        <v>6.1999999999999998E-3</v>
      </c>
      <c r="Q302" s="292">
        <v>6.3E-3</v>
      </c>
      <c r="R302" s="293">
        <v>5.7999999999999996E-3</v>
      </c>
      <c r="S302" s="295">
        <v>0.17130000000000001</v>
      </c>
      <c r="T302" s="266"/>
      <c r="U302" s="266"/>
      <c r="V302" s="266"/>
      <c r="W302" s="266"/>
      <c r="X302" s="327">
        <f t="shared" si="198"/>
        <v>229</v>
      </c>
      <c r="Y302" s="317">
        <v>13.516061111111112</v>
      </c>
      <c r="Z302" s="317">
        <v>13.196125</v>
      </c>
      <c r="AA302" s="328"/>
      <c r="AB302" s="329">
        <f t="shared" ref="AB302" si="233">AB301+1</f>
        <v>229</v>
      </c>
      <c r="AC302" s="321">
        <v>-6.9124999999999992E-2</v>
      </c>
      <c r="AD302" s="321">
        <v>-6.5541666666666665E-2</v>
      </c>
      <c r="AE302" s="266"/>
      <c r="AF302" s="266"/>
      <c r="AG302" s="266"/>
      <c r="AH302" s="266"/>
      <c r="AI302" s="266"/>
      <c r="AJ302" s="266"/>
    </row>
    <row r="303" spans="1:36">
      <c r="A303" s="266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364">
        <v>42</v>
      </c>
      <c r="M303" s="288">
        <v>5.0000000000000001E-4</v>
      </c>
      <c r="N303" s="289">
        <v>5.0000000000000001E-4</v>
      </c>
      <c r="O303" s="290">
        <v>6.4000000000000003E-3</v>
      </c>
      <c r="P303" s="291">
        <v>6.4000000000000003E-3</v>
      </c>
      <c r="Q303" s="292">
        <v>6.4000000000000003E-3</v>
      </c>
      <c r="R303" s="293">
        <v>5.8999999999999999E-3</v>
      </c>
      <c r="S303" s="295">
        <v>0.17549999999999999</v>
      </c>
      <c r="T303" s="266"/>
      <c r="U303" s="266"/>
      <c r="V303" s="266"/>
      <c r="W303" s="266"/>
      <c r="X303" s="327">
        <f t="shared" si="198"/>
        <v>230</v>
      </c>
      <c r="Y303" s="317">
        <v>13.196125</v>
      </c>
      <c r="Z303" s="317">
        <v>12.872702777777778</v>
      </c>
      <c r="AA303" s="328"/>
      <c r="AB303" s="329">
        <f t="shared" ref="AB303" si="234">AB302+1</f>
        <v>230</v>
      </c>
      <c r="AC303" s="321">
        <v>-6.5541666666666665E-2</v>
      </c>
      <c r="AD303" s="321">
        <v>-6.1816666666666673E-2</v>
      </c>
      <c r="AE303" s="266"/>
      <c r="AF303" s="266"/>
      <c r="AG303" s="266"/>
      <c r="AH303" s="266"/>
      <c r="AI303" s="266"/>
      <c r="AJ303" s="266"/>
    </row>
    <row r="304" spans="1:36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364">
        <v>43</v>
      </c>
      <c r="M304" s="288">
        <v>5.0000000000000001E-4</v>
      </c>
      <c r="N304" s="289">
        <v>5.0000000000000001E-4</v>
      </c>
      <c r="O304" s="290">
        <v>6.6E-3</v>
      </c>
      <c r="P304" s="291">
        <v>6.4999999999999997E-3</v>
      </c>
      <c r="Q304" s="292">
        <v>6.6E-3</v>
      </c>
      <c r="R304" s="293">
        <v>6.1000000000000004E-3</v>
      </c>
      <c r="S304" s="295">
        <v>0.1797</v>
      </c>
      <c r="T304" s="266"/>
      <c r="U304" s="266"/>
      <c r="V304" s="266"/>
      <c r="W304" s="266"/>
      <c r="X304" s="327">
        <f t="shared" si="198"/>
        <v>231</v>
      </c>
      <c r="Y304" s="317">
        <v>12.872702777777778</v>
      </c>
      <c r="Z304" s="317">
        <v>12.545888888888889</v>
      </c>
      <c r="AA304" s="328"/>
      <c r="AB304" s="329">
        <f t="shared" ref="AB304" si="235">AB303+1</f>
        <v>231</v>
      </c>
      <c r="AC304" s="321">
        <v>-6.1816666666666673E-2</v>
      </c>
      <c r="AD304" s="321">
        <v>-5.7952777777777784E-2</v>
      </c>
      <c r="AE304" s="266"/>
      <c r="AF304" s="266"/>
      <c r="AG304" s="266"/>
      <c r="AH304" s="266"/>
      <c r="AI304" s="266"/>
      <c r="AJ304" s="266"/>
    </row>
    <row r="305" spans="1:36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364">
        <v>44</v>
      </c>
      <c r="M305" s="288">
        <v>5.0000000000000001E-4</v>
      </c>
      <c r="N305" s="289">
        <v>5.0000000000000001E-4</v>
      </c>
      <c r="O305" s="290">
        <v>6.7000000000000002E-3</v>
      </c>
      <c r="P305" s="291">
        <v>6.7000000000000002E-3</v>
      </c>
      <c r="Q305" s="292">
        <v>6.7000000000000002E-3</v>
      </c>
      <c r="R305" s="293">
        <v>6.1999999999999998E-3</v>
      </c>
      <c r="S305" s="295">
        <v>0.18379999999999999</v>
      </c>
      <c r="T305" s="266"/>
      <c r="U305" s="266"/>
      <c r="V305" s="266"/>
      <c r="W305" s="266"/>
      <c r="X305" s="327">
        <f t="shared" si="198"/>
        <v>232</v>
      </c>
      <c r="Y305" s="317">
        <v>12.545888888888889</v>
      </c>
      <c r="Z305" s="317">
        <v>12.215766666666665</v>
      </c>
      <c r="AA305" s="328"/>
      <c r="AB305" s="329">
        <f t="shared" ref="AB305" si="236">AB304+1</f>
        <v>232</v>
      </c>
      <c r="AC305" s="321">
        <v>-5.7952777777777784E-2</v>
      </c>
      <c r="AD305" s="321">
        <v>-5.3958333333333337E-2</v>
      </c>
      <c r="AE305" s="266"/>
      <c r="AF305" s="266"/>
      <c r="AG305" s="266"/>
      <c r="AH305" s="266"/>
      <c r="AI305" s="266"/>
      <c r="AJ305" s="266"/>
    </row>
    <row r="306" spans="1:36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364">
        <v>45</v>
      </c>
      <c r="M306" s="288">
        <v>5.0000000000000001E-4</v>
      </c>
      <c r="N306" s="289">
        <v>5.0000000000000001E-4</v>
      </c>
      <c r="O306" s="290">
        <v>6.8999999999999999E-3</v>
      </c>
      <c r="P306" s="291">
        <v>6.7999999999999996E-3</v>
      </c>
      <c r="Q306" s="292">
        <v>6.8999999999999999E-3</v>
      </c>
      <c r="R306" s="293">
        <v>6.3E-3</v>
      </c>
      <c r="S306" s="295">
        <v>0.188</v>
      </c>
      <c r="T306" s="266"/>
      <c r="U306" s="266"/>
      <c r="V306" s="266"/>
      <c r="W306" s="266"/>
      <c r="X306" s="327">
        <f t="shared" si="198"/>
        <v>233</v>
      </c>
      <c r="Y306" s="317">
        <v>12.215766666666665</v>
      </c>
      <c r="Z306" s="317">
        <v>11.882425000000001</v>
      </c>
      <c r="AA306" s="328"/>
      <c r="AB306" s="329">
        <f t="shared" ref="AB306" si="237">AB305+1</f>
        <v>233</v>
      </c>
      <c r="AC306" s="321">
        <v>-5.3958333333333337E-2</v>
      </c>
      <c r="AD306" s="321">
        <v>-4.9833333333333334E-2</v>
      </c>
      <c r="AE306" s="266"/>
      <c r="AF306" s="266"/>
      <c r="AG306" s="266"/>
      <c r="AH306" s="266"/>
      <c r="AI306" s="266"/>
      <c r="AJ306" s="266"/>
    </row>
    <row r="307" spans="1:36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364">
        <v>46</v>
      </c>
      <c r="M307" s="288">
        <v>5.0000000000000001E-4</v>
      </c>
      <c r="N307" s="289">
        <v>5.0000000000000001E-4</v>
      </c>
      <c r="O307" s="290">
        <v>7.0000000000000001E-3</v>
      </c>
      <c r="P307" s="291">
        <v>7.0000000000000001E-3</v>
      </c>
      <c r="Q307" s="292">
        <v>7.0000000000000001E-3</v>
      </c>
      <c r="R307" s="293">
        <v>6.4999999999999997E-3</v>
      </c>
      <c r="S307" s="295">
        <v>0.19220000000000001</v>
      </c>
      <c r="T307" s="266"/>
      <c r="U307" s="266"/>
      <c r="V307" s="266"/>
      <c r="W307" s="266"/>
      <c r="X307" s="327">
        <f t="shared" si="198"/>
        <v>234</v>
      </c>
      <c r="Y307" s="317">
        <v>11.882425000000001</v>
      </c>
      <c r="Z307" s="317">
        <v>11.545949999999999</v>
      </c>
      <c r="AA307" s="328"/>
      <c r="AB307" s="329">
        <f t="shared" ref="AB307" si="238">AB306+1</f>
        <v>234</v>
      </c>
      <c r="AC307" s="321">
        <v>-4.9833333333333334E-2</v>
      </c>
      <c r="AD307" s="321">
        <v>-4.5583333333333337E-2</v>
      </c>
      <c r="AE307" s="266"/>
      <c r="AF307" s="266"/>
      <c r="AG307" s="266"/>
      <c r="AH307" s="266"/>
      <c r="AI307" s="266"/>
      <c r="AJ307" s="266"/>
    </row>
    <row r="308" spans="1:36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364">
        <v>47</v>
      </c>
      <c r="M308" s="288">
        <v>5.0000000000000001E-4</v>
      </c>
      <c r="N308" s="289">
        <v>5.0000000000000001E-4</v>
      </c>
      <c r="O308" s="290">
        <v>7.1999999999999998E-3</v>
      </c>
      <c r="P308" s="291">
        <v>7.1000000000000004E-3</v>
      </c>
      <c r="Q308" s="292">
        <v>7.1999999999999998E-3</v>
      </c>
      <c r="R308" s="293">
        <v>6.6E-3</v>
      </c>
      <c r="S308" s="295">
        <v>0.19639999999999999</v>
      </c>
      <c r="T308" s="266"/>
      <c r="U308" s="266"/>
      <c r="V308" s="266"/>
      <c r="W308" s="266"/>
      <c r="X308" s="327">
        <f t="shared" si="198"/>
        <v>235</v>
      </c>
      <c r="Y308" s="317">
        <v>11.545949999999999</v>
      </c>
      <c r="Z308" s="317">
        <v>11.20643611111111</v>
      </c>
      <c r="AA308" s="328"/>
      <c r="AB308" s="329">
        <f t="shared" ref="AB308" si="239">AB307+1</f>
        <v>235</v>
      </c>
      <c r="AC308" s="321">
        <v>-4.5583333333333337E-2</v>
      </c>
      <c r="AD308" s="321">
        <v>-4.1208333333333333E-2</v>
      </c>
      <c r="AE308" s="266"/>
      <c r="AF308" s="266"/>
      <c r="AG308" s="266"/>
      <c r="AH308" s="266"/>
      <c r="AI308" s="266"/>
      <c r="AJ308" s="266"/>
    </row>
    <row r="309" spans="1:36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364">
        <v>48</v>
      </c>
      <c r="M309" s="288">
        <v>5.0000000000000001E-4</v>
      </c>
      <c r="N309" s="289">
        <v>5.0000000000000001E-4</v>
      </c>
      <c r="O309" s="290">
        <v>7.3000000000000001E-3</v>
      </c>
      <c r="P309" s="291">
        <v>7.3000000000000001E-3</v>
      </c>
      <c r="Q309" s="292">
        <v>7.3000000000000001E-3</v>
      </c>
      <c r="R309" s="293">
        <v>6.7999999999999996E-3</v>
      </c>
      <c r="S309" s="295">
        <v>0.20050000000000001</v>
      </c>
      <c r="T309" s="266"/>
      <c r="U309" s="266"/>
      <c r="V309" s="266"/>
      <c r="W309" s="266"/>
      <c r="X309" s="327">
        <f t="shared" si="198"/>
        <v>236</v>
      </c>
      <c r="Y309" s="317">
        <v>11.20643611111111</v>
      </c>
      <c r="Z309" s="317">
        <v>10.863966666666666</v>
      </c>
      <c r="AA309" s="328"/>
      <c r="AB309" s="329">
        <f t="shared" ref="AB309" si="240">AB308+1</f>
        <v>236</v>
      </c>
      <c r="AC309" s="321">
        <v>-4.1208333333333333E-2</v>
      </c>
      <c r="AD309" s="321">
        <v>-3.6716666666666668E-2</v>
      </c>
      <c r="AE309" s="266"/>
      <c r="AF309" s="266"/>
      <c r="AG309" s="266"/>
      <c r="AH309" s="266"/>
      <c r="AI309" s="266"/>
      <c r="AJ309" s="266"/>
    </row>
    <row r="310" spans="1:36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364">
        <v>49</v>
      </c>
      <c r="M310" s="288">
        <v>5.9999999999999995E-4</v>
      </c>
      <c r="N310" s="289">
        <v>5.9999999999999995E-4</v>
      </c>
      <c r="O310" s="290">
        <v>7.4999999999999997E-3</v>
      </c>
      <c r="P310" s="291">
        <v>7.4000000000000003E-3</v>
      </c>
      <c r="Q310" s="292">
        <v>7.4999999999999997E-3</v>
      </c>
      <c r="R310" s="293">
        <v>6.8999999999999999E-3</v>
      </c>
      <c r="S310" s="295">
        <v>0.20469999999999999</v>
      </c>
      <c r="T310" s="266"/>
      <c r="U310" s="266"/>
      <c r="V310" s="266"/>
      <c r="W310" s="266"/>
      <c r="X310" s="327">
        <f t="shared" si="198"/>
        <v>237</v>
      </c>
      <c r="Y310" s="317">
        <v>10.863966666666666</v>
      </c>
      <c r="Z310" s="317">
        <v>10.518630555555557</v>
      </c>
      <c r="AA310" s="328"/>
      <c r="AB310" s="329">
        <f t="shared" ref="AB310" si="241">AB309+1</f>
        <v>237</v>
      </c>
      <c r="AC310" s="321">
        <v>-3.6716666666666668E-2</v>
      </c>
      <c r="AD310" s="321">
        <v>-3.2108333333333336E-2</v>
      </c>
      <c r="AE310" s="266"/>
      <c r="AF310" s="266"/>
      <c r="AG310" s="266"/>
      <c r="AH310" s="266"/>
      <c r="AI310" s="266"/>
      <c r="AJ310" s="266"/>
    </row>
    <row r="311" spans="1:36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364">
        <v>50</v>
      </c>
      <c r="M311" s="288">
        <v>5.9999999999999995E-4</v>
      </c>
      <c r="N311" s="289">
        <v>5.9999999999999995E-4</v>
      </c>
      <c r="O311" s="290">
        <v>7.6E-3</v>
      </c>
      <c r="P311" s="291">
        <v>7.6E-3</v>
      </c>
      <c r="Q311" s="292">
        <v>7.7000000000000002E-3</v>
      </c>
      <c r="R311" s="293">
        <v>7.1000000000000004E-3</v>
      </c>
      <c r="S311" s="295">
        <v>0.2089</v>
      </c>
      <c r="T311" s="266"/>
      <c r="U311" s="266"/>
      <c r="V311" s="266"/>
      <c r="W311" s="266"/>
      <c r="X311" s="327">
        <f t="shared" si="198"/>
        <v>238</v>
      </c>
      <c r="Y311" s="317">
        <v>10.518630555555557</v>
      </c>
      <c r="Z311" s="317">
        <v>10.170519444444444</v>
      </c>
      <c r="AA311" s="328"/>
      <c r="AB311" s="329">
        <f t="shared" ref="AB311" si="242">AB310+1</f>
        <v>238</v>
      </c>
      <c r="AC311" s="321">
        <v>-3.2108333333333336E-2</v>
      </c>
      <c r="AD311" s="321">
        <v>-2.7391666666666668E-2</v>
      </c>
      <c r="AE311" s="266"/>
      <c r="AF311" s="266"/>
      <c r="AG311" s="266"/>
      <c r="AH311" s="266"/>
      <c r="AI311" s="266"/>
      <c r="AJ311" s="266"/>
    </row>
    <row r="312" spans="1:36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364">
        <v>51</v>
      </c>
      <c r="M312" s="288">
        <v>5.9999999999999995E-4</v>
      </c>
      <c r="N312" s="289">
        <v>5.9999999999999995E-4</v>
      </c>
      <c r="O312" s="290">
        <v>7.7999999999999996E-3</v>
      </c>
      <c r="P312" s="291">
        <v>7.7000000000000002E-3</v>
      </c>
      <c r="Q312" s="292">
        <v>7.7999999999999996E-3</v>
      </c>
      <c r="R312" s="293">
        <v>7.1999999999999998E-3</v>
      </c>
      <c r="S312" s="295">
        <v>0.21310000000000001</v>
      </c>
      <c r="T312" s="266"/>
      <c r="U312" s="266"/>
      <c r="V312" s="266"/>
      <c r="W312" s="266"/>
      <c r="X312" s="327">
        <f t="shared" si="198"/>
        <v>239</v>
      </c>
      <c r="Y312" s="317">
        <v>10.170519444444444</v>
      </c>
      <c r="Z312" s="317">
        <v>9.8197194444444449</v>
      </c>
      <c r="AA312" s="328"/>
      <c r="AB312" s="329">
        <f t="shared" ref="AB312" si="243">AB311+1</f>
        <v>239</v>
      </c>
      <c r="AC312" s="321">
        <v>-2.7391666666666668E-2</v>
      </c>
      <c r="AD312" s="321">
        <v>-2.2566666666666665E-2</v>
      </c>
      <c r="AE312" s="266"/>
      <c r="AF312" s="266"/>
      <c r="AG312" s="266"/>
      <c r="AH312" s="266"/>
      <c r="AI312" s="266"/>
      <c r="AJ312" s="266"/>
    </row>
    <row r="313" spans="1:36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364">
        <v>52</v>
      </c>
      <c r="M313" s="288">
        <v>5.9999999999999995E-4</v>
      </c>
      <c r="N313" s="289">
        <v>5.9999999999999995E-4</v>
      </c>
      <c r="O313" s="290">
        <v>7.9000000000000008E-3</v>
      </c>
      <c r="P313" s="291">
        <v>7.9000000000000008E-3</v>
      </c>
      <c r="Q313" s="292">
        <v>8.0000000000000002E-3</v>
      </c>
      <c r="R313" s="293">
        <v>7.3000000000000001E-3</v>
      </c>
      <c r="S313" s="295">
        <v>0.21729999999999999</v>
      </c>
      <c r="T313" s="266"/>
      <c r="U313" s="266"/>
      <c r="V313" s="266"/>
      <c r="W313" s="266"/>
      <c r="X313" s="327">
        <f t="shared" si="198"/>
        <v>240</v>
      </c>
      <c r="Y313" s="317">
        <v>9.8197194444444449</v>
      </c>
      <c r="Z313" s="317">
        <v>9.4663194444444443</v>
      </c>
      <c r="AA313" s="328"/>
      <c r="AB313" s="329">
        <f t="shared" ref="AB313" si="244">AB312+1</f>
        <v>240</v>
      </c>
      <c r="AC313" s="321">
        <v>-2.2566666666666665E-2</v>
      </c>
      <c r="AD313" s="321">
        <v>-1.7638888888888888E-2</v>
      </c>
      <c r="AE313" s="266"/>
      <c r="AF313" s="266"/>
      <c r="AG313" s="266"/>
      <c r="AH313" s="266"/>
      <c r="AI313" s="266"/>
      <c r="AJ313" s="266"/>
    </row>
    <row r="314" spans="1:36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364">
        <v>53</v>
      </c>
      <c r="M314" s="288">
        <v>5.9999999999999995E-4</v>
      </c>
      <c r="N314" s="289">
        <v>5.9999999999999995E-4</v>
      </c>
      <c r="O314" s="290">
        <v>8.0999999999999996E-3</v>
      </c>
      <c r="P314" s="291">
        <v>8.0000000000000002E-3</v>
      </c>
      <c r="Q314" s="292">
        <v>8.0999999999999996E-3</v>
      </c>
      <c r="R314" s="293">
        <v>7.4999999999999997E-3</v>
      </c>
      <c r="S314" s="295">
        <v>0.22140000000000001</v>
      </c>
      <c r="T314" s="266"/>
      <c r="U314" s="266"/>
      <c r="V314" s="266"/>
      <c r="W314" s="266"/>
      <c r="X314" s="327">
        <f t="shared" si="198"/>
        <v>241</v>
      </c>
      <c r="Y314" s="317">
        <v>9.4663194444444443</v>
      </c>
      <c r="Z314" s="317">
        <v>9.1104111111111106</v>
      </c>
      <c r="AA314" s="328"/>
      <c r="AB314" s="329">
        <f t="shared" ref="AB314" si="245">AB313+1</f>
        <v>241</v>
      </c>
      <c r="AC314" s="321">
        <v>-1.7638888888888888E-2</v>
      </c>
      <c r="AD314" s="321">
        <v>-1.2613888888888888E-2</v>
      </c>
      <c r="AE314" s="266"/>
      <c r="AF314" s="266"/>
      <c r="AG314" s="266"/>
      <c r="AH314" s="266"/>
      <c r="AI314" s="266"/>
      <c r="AJ314" s="266"/>
    </row>
    <row r="315" spans="1:36">
      <c r="A315" s="266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364">
        <v>54</v>
      </c>
      <c r="M315" s="288">
        <v>5.9999999999999995E-4</v>
      </c>
      <c r="N315" s="289">
        <v>5.9999999999999995E-4</v>
      </c>
      <c r="O315" s="290">
        <v>8.2000000000000007E-3</v>
      </c>
      <c r="P315" s="291">
        <v>8.2000000000000007E-3</v>
      </c>
      <c r="Q315" s="292">
        <v>8.3000000000000001E-3</v>
      </c>
      <c r="R315" s="293">
        <v>7.6E-3</v>
      </c>
      <c r="S315" s="295">
        <v>0.22559999999999999</v>
      </c>
      <c r="T315" s="266"/>
      <c r="U315" s="266"/>
      <c r="V315" s="266"/>
      <c r="W315" s="266"/>
      <c r="X315" s="327">
        <f t="shared" si="198"/>
        <v>242</v>
      </c>
      <c r="Y315" s="317">
        <v>9.1104111111111106</v>
      </c>
      <c r="Z315" s="317">
        <v>8.7520805555555548</v>
      </c>
      <c r="AA315" s="328"/>
      <c r="AB315" s="329">
        <f t="shared" ref="AB315" si="246">AB314+1</f>
        <v>242</v>
      </c>
      <c r="AC315" s="321">
        <v>-1.2613888888888888E-2</v>
      </c>
      <c r="AD315" s="321">
        <v>-7.4944444444444442E-3</v>
      </c>
      <c r="AE315" s="266"/>
      <c r="AF315" s="266"/>
      <c r="AG315" s="266"/>
      <c r="AH315" s="266"/>
      <c r="AI315" s="266"/>
      <c r="AJ315" s="266"/>
    </row>
    <row r="316" spans="1:36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364">
        <v>55</v>
      </c>
      <c r="M316" s="288">
        <v>5.9999999999999995E-4</v>
      </c>
      <c r="N316" s="289">
        <v>5.9999999999999995E-4</v>
      </c>
      <c r="O316" s="290">
        <v>8.3999999999999995E-3</v>
      </c>
      <c r="P316" s="291">
        <v>8.3000000000000001E-3</v>
      </c>
      <c r="Q316" s="292">
        <v>8.3999999999999995E-3</v>
      </c>
      <c r="R316" s="293">
        <v>7.7999999999999996E-3</v>
      </c>
      <c r="S316" s="295">
        <v>0.2298</v>
      </c>
      <c r="T316" s="266"/>
      <c r="U316" s="266"/>
      <c r="V316" s="266"/>
      <c r="W316" s="266"/>
      <c r="X316" s="327">
        <f t="shared" si="198"/>
        <v>243</v>
      </c>
      <c r="Y316" s="317">
        <v>8.7520805555555548</v>
      </c>
      <c r="Z316" s="317">
        <v>8.3914194444444448</v>
      </c>
      <c r="AA316" s="328"/>
      <c r="AB316" s="329">
        <f t="shared" ref="AB316" si="247">AB315+1</f>
        <v>243</v>
      </c>
      <c r="AC316" s="321">
        <v>-7.4944444444444442E-3</v>
      </c>
      <c r="AD316" s="321">
        <v>-2.2861111111111112E-3</v>
      </c>
      <c r="AE316" s="266"/>
      <c r="AF316" s="266"/>
      <c r="AG316" s="266"/>
      <c r="AH316" s="266"/>
      <c r="AI316" s="266"/>
      <c r="AJ316" s="266"/>
    </row>
    <row r="317" spans="1:36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364">
        <v>56</v>
      </c>
      <c r="M317" s="288">
        <v>5.9999999999999995E-4</v>
      </c>
      <c r="N317" s="289">
        <v>5.9999999999999995E-4</v>
      </c>
      <c r="O317" s="290">
        <v>8.5000000000000006E-3</v>
      </c>
      <c r="P317" s="291">
        <v>8.5000000000000006E-3</v>
      </c>
      <c r="Q317" s="292">
        <v>8.6E-3</v>
      </c>
      <c r="R317" s="293">
        <v>7.9000000000000008E-3</v>
      </c>
      <c r="S317" s="295">
        <v>0.23400000000000001</v>
      </c>
      <c r="T317" s="266"/>
      <c r="U317" s="266"/>
      <c r="V317" s="266"/>
      <c r="W317" s="266"/>
      <c r="X317" s="327">
        <f t="shared" si="198"/>
        <v>244</v>
      </c>
      <c r="Y317" s="317">
        <v>8.3914194444444448</v>
      </c>
      <c r="Z317" s="317">
        <v>8.0285166666666683</v>
      </c>
      <c r="AA317" s="328"/>
      <c r="AB317" s="329">
        <f t="shared" ref="AB317" si="248">AB316+1</f>
        <v>244</v>
      </c>
      <c r="AC317" s="321">
        <v>-2.2861111111111112E-3</v>
      </c>
      <c r="AD317" s="321">
        <v>3.0055555555555556E-3</v>
      </c>
      <c r="AE317" s="266"/>
      <c r="AF317" s="266"/>
      <c r="AG317" s="266"/>
      <c r="AH317" s="266"/>
      <c r="AI317" s="266"/>
      <c r="AJ317" s="266"/>
    </row>
    <row r="318" spans="1:36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364">
        <v>57</v>
      </c>
      <c r="M318" s="288">
        <v>6.9999999999999999E-4</v>
      </c>
      <c r="N318" s="289">
        <v>6.9999999999999999E-4</v>
      </c>
      <c r="O318" s="290">
        <v>8.6999999999999994E-3</v>
      </c>
      <c r="P318" s="291">
        <v>8.6E-3</v>
      </c>
      <c r="Q318" s="292">
        <v>8.6999999999999994E-3</v>
      </c>
      <c r="R318" s="293">
        <v>8.0000000000000002E-3</v>
      </c>
      <c r="S318" s="295">
        <v>0.2382</v>
      </c>
      <c r="T318" s="266"/>
      <c r="U318" s="266"/>
      <c r="V318" s="266"/>
      <c r="W318" s="266"/>
      <c r="X318" s="327">
        <f t="shared" si="198"/>
        <v>245</v>
      </c>
      <c r="Y318" s="317">
        <v>8.0285166666666683</v>
      </c>
      <c r="Z318" s="317">
        <v>7.6634611111111113</v>
      </c>
      <c r="AA318" s="328"/>
      <c r="AB318" s="329">
        <f t="shared" ref="AB318" si="249">AB317+1</f>
        <v>245</v>
      </c>
      <c r="AC318" s="321">
        <v>3.0055555555555556E-3</v>
      </c>
      <c r="AD318" s="321">
        <v>8.3749999999999988E-3</v>
      </c>
      <c r="AE318" s="266"/>
      <c r="AF318" s="266"/>
      <c r="AG318" s="266"/>
      <c r="AH318" s="266"/>
      <c r="AI318" s="266"/>
      <c r="AJ318" s="266"/>
    </row>
    <row r="319" spans="1:36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364">
        <v>58</v>
      </c>
      <c r="M319" s="288">
        <v>6.9999999999999999E-4</v>
      </c>
      <c r="N319" s="289">
        <v>6.9999999999999999E-4</v>
      </c>
      <c r="O319" s="290">
        <v>8.8000000000000005E-3</v>
      </c>
      <c r="P319" s="291">
        <v>8.8000000000000005E-3</v>
      </c>
      <c r="Q319" s="292">
        <v>8.8999999999999999E-3</v>
      </c>
      <c r="R319" s="293">
        <v>8.2000000000000007E-3</v>
      </c>
      <c r="S319" s="295">
        <v>0.24229999999999999</v>
      </c>
      <c r="T319" s="266"/>
      <c r="U319" s="266"/>
      <c r="V319" s="266"/>
      <c r="W319" s="266"/>
      <c r="X319" s="327">
        <f t="shared" si="198"/>
        <v>246</v>
      </c>
      <c r="Y319" s="317">
        <v>7.6634611111111113</v>
      </c>
      <c r="Z319" s="317">
        <v>7.2963416666666667</v>
      </c>
      <c r="AA319" s="328"/>
      <c r="AB319" s="329">
        <f t="shared" ref="AB319" si="250">AB318+1</f>
        <v>246</v>
      </c>
      <c r="AC319" s="321">
        <v>8.3749999999999988E-3</v>
      </c>
      <c r="AD319" s="321">
        <v>1.3822222222222222E-2</v>
      </c>
      <c r="AE319" s="266"/>
      <c r="AF319" s="266"/>
      <c r="AG319" s="266"/>
      <c r="AH319" s="266"/>
      <c r="AI319" s="266"/>
      <c r="AJ319" s="266"/>
    </row>
    <row r="320" spans="1:36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364">
        <v>59</v>
      </c>
      <c r="M320" s="288">
        <v>6.9999999999999999E-4</v>
      </c>
      <c r="N320" s="289">
        <v>6.9999999999999999E-4</v>
      </c>
      <c r="O320" s="290">
        <v>8.9999999999999993E-3</v>
      </c>
      <c r="P320" s="291">
        <v>8.8999999999999999E-3</v>
      </c>
      <c r="Q320" s="292">
        <v>8.9999999999999993E-3</v>
      </c>
      <c r="R320" s="293">
        <v>8.3000000000000001E-3</v>
      </c>
      <c r="S320" s="295">
        <v>0.2465</v>
      </c>
      <c r="T320" s="266"/>
      <c r="U320" s="266"/>
      <c r="V320" s="266"/>
      <c r="W320" s="266"/>
      <c r="X320" s="327">
        <f t="shared" si="198"/>
        <v>247</v>
      </c>
      <c r="Y320" s="317">
        <v>7.2963416666666667</v>
      </c>
      <c r="Z320" s="317">
        <v>6.9272527777777784</v>
      </c>
      <c r="AA320" s="328"/>
      <c r="AB320" s="329">
        <f t="shared" ref="AB320" si="251">AB319+1</f>
        <v>247</v>
      </c>
      <c r="AC320" s="321">
        <v>1.3822222222222222E-2</v>
      </c>
      <c r="AD320" s="321">
        <v>1.9338888888888888E-2</v>
      </c>
      <c r="AE320" s="266"/>
      <c r="AF320" s="266"/>
      <c r="AG320" s="266"/>
      <c r="AH320" s="266"/>
      <c r="AI320" s="266"/>
      <c r="AJ320" s="266"/>
    </row>
    <row r="321" spans="1:36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364">
        <v>60</v>
      </c>
      <c r="M321" s="288">
        <v>6.9999999999999999E-4</v>
      </c>
      <c r="N321" s="289">
        <v>6.9999999999999999E-4</v>
      </c>
      <c r="O321" s="290">
        <v>9.1999999999999998E-3</v>
      </c>
      <c r="P321" s="291">
        <v>9.1000000000000004E-3</v>
      </c>
      <c r="Q321" s="292">
        <v>9.1999999999999998E-3</v>
      </c>
      <c r="R321" s="293">
        <v>8.5000000000000006E-3</v>
      </c>
      <c r="S321" s="295">
        <v>0.25069999999999998</v>
      </c>
      <c r="T321" s="266"/>
      <c r="U321" s="266"/>
      <c r="V321" s="266"/>
      <c r="W321" s="266"/>
      <c r="X321" s="327">
        <f t="shared" si="198"/>
        <v>248</v>
      </c>
      <c r="Y321" s="317">
        <v>6.9272527777777784</v>
      </c>
      <c r="Z321" s="317">
        <v>6.5562777777777779</v>
      </c>
      <c r="AA321" s="328"/>
      <c r="AB321" s="329">
        <f t="shared" ref="AB321" si="252">AB320+1</f>
        <v>248</v>
      </c>
      <c r="AC321" s="321">
        <v>1.9338888888888888E-2</v>
      </c>
      <c r="AD321" s="321">
        <v>2.4919444444444445E-2</v>
      </c>
      <c r="AE321" s="266"/>
      <c r="AF321" s="266"/>
      <c r="AG321" s="266"/>
      <c r="AH321" s="266"/>
      <c r="AI321" s="266"/>
      <c r="AJ321" s="266"/>
    </row>
    <row r="322" spans="1:36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327">
        <f t="shared" si="198"/>
        <v>249</v>
      </c>
      <c r="Y322" s="317">
        <v>6.5562777777777779</v>
      </c>
      <c r="Z322" s="317">
        <v>6.1835111111111116</v>
      </c>
      <c r="AA322" s="328"/>
      <c r="AB322" s="329">
        <f t="shared" ref="AB322" si="253">AB321+1</f>
        <v>249</v>
      </c>
      <c r="AC322" s="321">
        <v>2.4919444444444445E-2</v>
      </c>
      <c r="AD322" s="321">
        <v>3.0561111111111112E-2</v>
      </c>
      <c r="AE322" s="266"/>
      <c r="AF322" s="266"/>
      <c r="AG322" s="266"/>
      <c r="AH322" s="266"/>
      <c r="AI322" s="266"/>
      <c r="AJ322" s="266"/>
    </row>
    <row r="323" spans="1:36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327">
        <f t="shared" si="198"/>
        <v>250</v>
      </c>
      <c r="Y323" s="317">
        <v>6.1835111111111116</v>
      </c>
      <c r="Z323" s="317">
        <v>5.8090416666666664</v>
      </c>
      <c r="AA323" s="328"/>
      <c r="AB323" s="329">
        <f t="shared" ref="AB323" si="254">AB322+1</f>
        <v>250</v>
      </c>
      <c r="AC323" s="321">
        <v>3.0561111111111112E-2</v>
      </c>
      <c r="AD323" s="321">
        <v>3.6255555555555555E-2</v>
      </c>
      <c r="AE323" s="266"/>
      <c r="AF323" s="266"/>
      <c r="AG323" s="266"/>
      <c r="AH323" s="266"/>
      <c r="AI323" s="266"/>
      <c r="AJ323" s="266"/>
    </row>
    <row r="324" spans="1:36">
      <c r="X324" s="327">
        <f t="shared" si="198"/>
        <v>251</v>
      </c>
      <c r="Y324" s="317">
        <v>5.8090416666666664</v>
      </c>
      <c r="Z324" s="317">
        <v>5.4329583333333336</v>
      </c>
      <c r="AA324" s="328"/>
      <c r="AB324" s="329">
        <f t="shared" ref="AB324" si="255">AB323+1</f>
        <v>251</v>
      </c>
      <c r="AC324" s="321">
        <v>3.6255555555555555E-2</v>
      </c>
      <c r="AD324" s="321">
        <v>4.2002777777777778E-2</v>
      </c>
    </row>
    <row r="325" spans="1:36">
      <c r="X325" s="327">
        <f t="shared" si="198"/>
        <v>252</v>
      </c>
      <c r="Y325" s="317">
        <v>5.4329583333333336</v>
      </c>
      <c r="Z325" s="317">
        <v>5.0553555555555549</v>
      </c>
      <c r="AA325" s="328"/>
      <c r="AB325" s="329">
        <f t="shared" ref="AB325" si="256">AB324+1</f>
        <v>252</v>
      </c>
      <c r="AC325" s="321">
        <v>4.2002777777777778E-2</v>
      </c>
      <c r="AD325" s="321">
        <v>4.7791666666666663E-2</v>
      </c>
    </row>
    <row r="326" spans="1:36">
      <c r="X326" s="327">
        <f t="shared" si="198"/>
        <v>253</v>
      </c>
      <c r="Y326" s="317">
        <v>5.0553555555555549</v>
      </c>
      <c r="Z326" s="317">
        <v>4.6763194444444451</v>
      </c>
      <c r="AA326" s="328"/>
      <c r="AB326" s="329">
        <f t="shared" ref="AB326" si="257">AB325+1</f>
        <v>253</v>
      </c>
      <c r="AC326" s="321">
        <v>4.7791666666666663E-2</v>
      </c>
      <c r="AD326" s="321">
        <v>5.3622222222222224E-2</v>
      </c>
    </row>
    <row r="327" spans="1:36">
      <c r="X327" s="327">
        <f t="shared" si="198"/>
        <v>254</v>
      </c>
      <c r="Y327" s="317">
        <v>4.6763194444444451</v>
      </c>
      <c r="Z327" s="317">
        <v>4.2959444444444443</v>
      </c>
      <c r="AA327" s="328"/>
      <c r="AB327" s="329">
        <f t="shared" ref="AB327" si="258">AB326+1</f>
        <v>254</v>
      </c>
      <c r="AC327" s="321">
        <v>5.3622222222222224E-2</v>
      </c>
      <c r="AD327" s="321">
        <v>5.9483333333333333E-2</v>
      </c>
    </row>
    <row r="328" spans="1:36">
      <c r="X328" s="327">
        <f t="shared" si="198"/>
        <v>255</v>
      </c>
      <c r="Y328" s="317">
        <v>4.2959444444444443</v>
      </c>
      <c r="Z328" s="317">
        <v>3.9143194444444442</v>
      </c>
      <c r="AA328" s="328"/>
      <c r="AB328" s="329">
        <f t="shared" ref="AB328" si="259">AB327+1</f>
        <v>255</v>
      </c>
      <c r="AC328" s="321">
        <v>5.9483333333333333E-2</v>
      </c>
      <c r="AD328" s="321">
        <v>6.5375000000000003E-2</v>
      </c>
    </row>
    <row r="329" spans="1:36">
      <c r="X329" s="327">
        <f t="shared" si="198"/>
        <v>256</v>
      </c>
      <c r="Y329" s="317">
        <v>3.9143194444444442</v>
      </c>
      <c r="Z329" s="317">
        <v>3.531538888888889</v>
      </c>
      <c r="AA329" s="328"/>
      <c r="AB329" s="329">
        <f t="shared" ref="AB329" si="260">AB328+1</f>
        <v>256</v>
      </c>
      <c r="AC329" s="321">
        <v>6.5375000000000003E-2</v>
      </c>
      <c r="AD329" s="321">
        <v>7.129166666666667E-2</v>
      </c>
    </row>
    <row r="330" spans="1:36">
      <c r="X330" s="327">
        <f t="shared" si="198"/>
        <v>257</v>
      </c>
      <c r="Y330" s="317">
        <v>3.531538888888889</v>
      </c>
      <c r="Z330" s="317">
        <v>3.1476916666666668</v>
      </c>
      <c r="AA330" s="328"/>
      <c r="AB330" s="329">
        <f t="shared" ref="AB330" si="261">AB329+1</f>
        <v>257</v>
      </c>
      <c r="AC330" s="321">
        <v>7.129166666666667E-2</v>
      </c>
      <c r="AD330" s="321">
        <v>7.722222222222222E-2</v>
      </c>
    </row>
    <row r="331" spans="1:36">
      <c r="X331" s="327">
        <f t="shared" si="198"/>
        <v>258</v>
      </c>
      <c r="Y331" s="317">
        <v>3.1476916666666668</v>
      </c>
      <c r="Z331" s="317">
        <v>2.7628694444444446</v>
      </c>
      <c r="AA331" s="328"/>
      <c r="AB331" s="329">
        <f t="shared" ref="AB331" si="262">AB330+1</f>
        <v>258</v>
      </c>
      <c r="AC331" s="321">
        <v>7.722222222222222E-2</v>
      </c>
      <c r="AD331" s="321">
        <v>8.3166666666666667E-2</v>
      </c>
    </row>
    <row r="332" spans="1:36">
      <c r="X332" s="327">
        <f t="shared" ref="X332:X395" si="263">X331+1</f>
        <v>259</v>
      </c>
      <c r="Y332" s="317">
        <v>2.7628694444444446</v>
      </c>
      <c r="Z332" s="317">
        <v>2.3771638888888891</v>
      </c>
      <c r="AA332" s="328"/>
      <c r="AB332" s="329">
        <f t="shared" ref="AB332" si="264">AB331+1</f>
        <v>259</v>
      </c>
      <c r="AC332" s="321">
        <v>8.3166666666666667E-2</v>
      </c>
      <c r="AD332" s="321">
        <v>8.9119444444444446E-2</v>
      </c>
    </row>
    <row r="333" spans="1:36">
      <c r="X333" s="327">
        <f t="shared" si="263"/>
        <v>260</v>
      </c>
      <c r="Y333" s="317">
        <v>2.3771638888888891</v>
      </c>
      <c r="Z333" s="317">
        <v>1.9906694444444446</v>
      </c>
      <c r="AA333" s="328"/>
      <c r="AB333" s="329">
        <f t="shared" ref="AB333" si="265">AB332+1</f>
        <v>260</v>
      </c>
      <c r="AC333" s="321">
        <v>8.9119444444444446E-2</v>
      </c>
      <c r="AD333" s="321">
        <v>9.5072222222222225E-2</v>
      </c>
    </row>
    <row r="334" spans="1:36">
      <c r="X334" s="327">
        <f t="shared" si="263"/>
        <v>261</v>
      </c>
      <c r="Y334" s="317">
        <v>1.9906694444444446</v>
      </c>
      <c r="Z334" s="317">
        <v>1.6034805555555556</v>
      </c>
      <c r="AA334" s="328"/>
      <c r="AB334" s="329">
        <f t="shared" ref="AB334" si="266">AB333+1</f>
        <v>261</v>
      </c>
      <c r="AC334" s="321">
        <v>9.5072222222222225E-2</v>
      </c>
      <c r="AD334" s="321">
        <v>0.10101944444444445</v>
      </c>
    </row>
    <row r="335" spans="1:36">
      <c r="X335" s="327">
        <f t="shared" si="263"/>
        <v>262</v>
      </c>
      <c r="Y335" s="317">
        <v>1.6034805555555556</v>
      </c>
      <c r="Z335" s="317">
        <v>1.2156833333333332</v>
      </c>
      <c r="AA335" s="328"/>
      <c r="AB335" s="329">
        <f t="shared" ref="AB335" si="267">AB334+1</f>
        <v>262</v>
      </c>
      <c r="AC335" s="321">
        <v>0.10101944444444445</v>
      </c>
      <c r="AD335" s="321">
        <v>0.10695833333333334</v>
      </c>
    </row>
    <row r="336" spans="1:36">
      <c r="X336" s="327">
        <f t="shared" si="263"/>
        <v>263</v>
      </c>
      <c r="Y336" s="317">
        <v>1.2156833333333332</v>
      </c>
      <c r="Z336" s="317">
        <v>0.82737777777777777</v>
      </c>
      <c r="AA336" s="328"/>
      <c r="AB336" s="329">
        <f t="shared" ref="AB336" si="268">AB335+1</f>
        <v>263</v>
      </c>
      <c r="AC336" s="321">
        <v>0.10695833333333334</v>
      </c>
      <c r="AD336" s="321">
        <v>0.11288055555555557</v>
      </c>
    </row>
    <row r="337" spans="24:30">
      <c r="X337" s="327">
        <f t="shared" si="263"/>
        <v>264</v>
      </c>
      <c r="Y337" s="317">
        <v>0.82737777777777777</v>
      </c>
      <c r="Z337" s="317">
        <v>0.43865277777777778</v>
      </c>
      <c r="AA337" s="328"/>
      <c r="AB337" s="329">
        <f t="shared" ref="AB337" si="269">AB336+1</f>
        <v>264</v>
      </c>
      <c r="AC337" s="321">
        <v>0.11288055555555557</v>
      </c>
      <c r="AD337" s="321">
        <v>0.11878055555555556</v>
      </c>
    </row>
    <row r="338" spans="24:30">
      <c r="X338" s="327">
        <f t="shared" si="263"/>
        <v>265</v>
      </c>
      <c r="Y338" s="317">
        <v>0.43865277777777778</v>
      </c>
      <c r="Z338" s="317">
        <v>4.9605555555555556E-2</v>
      </c>
      <c r="AA338" s="328"/>
      <c r="AB338" s="329">
        <f t="shared" ref="AB338" si="270">AB337+1</f>
        <v>265</v>
      </c>
      <c r="AC338" s="321">
        <v>0.11878055555555556</v>
      </c>
      <c r="AD338" s="321">
        <v>0.12465277777777778</v>
      </c>
    </row>
    <row r="339" spans="24:30">
      <c r="X339" s="327">
        <f t="shared" si="263"/>
        <v>266</v>
      </c>
      <c r="Y339" s="317">
        <v>4.9605555555555556E-2</v>
      </c>
      <c r="Z339" s="317">
        <v>-0.33967222222222221</v>
      </c>
      <c r="AA339" s="328"/>
      <c r="AB339" s="329">
        <f t="shared" ref="AB339" si="271">AB338+1</f>
        <v>266</v>
      </c>
      <c r="AC339" s="321">
        <v>0.12465277777777778</v>
      </c>
      <c r="AD339" s="321">
        <v>0.13049444444444444</v>
      </c>
    </row>
    <row r="340" spans="24:30">
      <c r="X340" s="327">
        <f t="shared" si="263"/>
        <v>267</v>
      </c>
      <c r="Y340" s="317">
        <v>-0.33967222222222221</v>
      </c>
      <c r="Z340" s="317">
        <v>-0.72908333333333331</v>
      </c>
      <c r="AA340" s="328"/>
      <c r="AB340" s="329">
        <f t="shared" ref="AB340" si="272">AB339+1</f>
        <v>267</v>
      </c>
      <c r="AC340" s="321">
        <v>0.13049444444444444</v>
      </c>
      <c r="AD340" s="321">
        <v>0.13629722222222221</v>
      </c>
    </row>
    <row r="341" spans="24:30">
      <c r="X341" s="327">
        <f t="shared" si="263"/>
        <v>268</v>
      </c>
      <c r="Y341" s="317">
        <v>-0.72908333333333331</v>
      </c>
      <c r="Z341" s="317">
        <v>-1.1185333333333334</v>
      </c>
      <c r="AA341" s="328"/>
      <c r="AB341" s="329">
        <f t="shared" ref="AB341" si="273">AB340+1</f>
        <v>268</v>
      </c>
      <c r="AC341" s="321">
        <v>0.13629722222222221</v>
      </c>
      <c r="AD341" s="321">
        <v>0.14205555555555555</v>
      </c>
    </row>
    <row r="342" spans="24:30">
      <c r="X342" s="327">
        <f t="shared" si="263"/>
        <v>269</v>
      </c>
      <c r="Y342" s="317">
        <v>-1.1185333333333334</v>
      </c>
      <c r="Z342" s="317">
        <v>-1.5079277777777778</v>
      </c>
      <c r="AA342" s="328"/>
      <c r="AB342" s="329">
        <f t="shared" ref="AB342" si="274">AB341+1</f>
        <v>269</v>
      </c>
      <c r="AC342" s="321">
        <v>0.14205555555555555</v>
      </c>
      <c r="AD342" s="321">
        <v>0.14776666666666666</v>
      </c>
    </row>
    <row r="343" spans="24:30">
      <c r="X343" s="327">
        <f t="shared" si="263"/>
        <v>270</v>
      </c>
      <c r="Y343" s="317">
        <v>-1.5079277777777778</v>
      </c>
      <c r="Z343" s="317">
        <v>-1.8971722222222223</v>
      </c>
      <c r="AA343" s="328"/>
      <c r="AB343" s="329">
        <f t="shared" ref="AB343" si="275">AB342+1</f>
        <v>270</v>
      </c>
      <c r="AC343" s="321">
        <v>0.14776666666666666</v>
      </c>
      <c r="AD343" s="321">
        <v>0.15341944444444444</v>
      </c>
    </row>
    <row r="344" spans="24:30">
      <c r="X344" s="327">
        <f t="shared" si="263"/>
        <v>271</v>
      </c>
      <c r="Y344" s="317">
        <v>-1.8971722222222223</v>
      </c>
      <c r="Z344" s="317">
        <v>-2.2861666666666665</v>
      </c>
      <c r="AA344" s="328"/>
      <c r="AB344" s="329">
        <f t="shared" ref="AB344" si="276">AB343+1</f>
        <v>271</v>
      </c>
      <c r="AC344" s="321">
        <v>0.15341944444444444</v>
      </c>
      <c r="AD344" s="321">
        <v>0.1590111111111111</v>
      </c>
    </row>
    <row r="345" spans="24:30">
      <c r="X345" s="327">
        <f t="shared" si="263"/>
        <v>272</v>
      </c>
      <c r="Y345" s="317">
        <v>-2.2861666666666665</v>
      </c>
      <c r="Z345" s="317">
        <v>-2.6748166666666666</v>
      </c>
      <c r="AA345" s="328"/>
      <c r="AB345" s="329">
        <f t="shared" ref="AB345" si="277">AB344+1</f>
        <v>272</v>
      </c>
      <c r="AC345" s="321">
        <v>0.1590111111111111</v>
      </c>
      <c r="AD345" s="321">
        <v>0.16453611111111111</v>
      </c>
    </row>
    <row r="346" spans="24:30">
      <c r="X346" s="327">
        <f t="shared" si="263"/>
        <v>273</v>
      </c>
      <c r="Y346" s="317">
        <v>-2.6748166666666666</v>
      </c>
      <c r="Z346" s="317">
        <v>-3.0630249999999997</v>
      </c>
      <c r="AA346" s="328"/>
      <c r="AB346" s="329">
        <f t="shared" ref="AB346" si="278">AB345+1</f>
        <v>273</v>
      </c>
      <c r="AC346" s="321">
        <v>0.16453611111111111</v>
      </c>
      <c r="AD346" s="321">
        <v>0.16998888888888888</v>
      </c>
    </row>
    <row r="347" spans="24:30">
      <c r="X347" s="327">
        <f t="shared" si="263"/>
        <v>274</v>
      </c>
      <c r="Y347" s="317">
        <v>-3.0630249999999997</v>
      </c>
      <c r="Z347" s="317">
        <v>-3.4506916666666667</v>
      </c>
      <c r="AA347" s="328"/>
      <c r="AB347" s="329">
        <f t="shared" ref="AB347" si="279">AB346+1</f>
        <v>274</v>
      </c>
      <c r="AC347" s="321">
        <v>0.16998888888888888</v>
      </c>
      <c r="AD347" s="321">
        <v>0.17536388888888887</v>
      </c>
    </row>
    <row r="348" spans="24:30">
      <c r="X348" s="327">
        <f t="shared" si="263"/>
        <v>275</v>
      </c>
      <c r="Y348" s="317">
        <v>-3.4506916666666667</v>
      </c>
      <c r="Z348" s="317">
        <v>-3.8377222222222223</v>
      </c>
      <c r="AA348" s="328"/>
      <c r="AB348" s="329">
        <f t="shared" ref="AB348" si="280">AB347+1</f>
        <v>275</v>
      </c>
      <c r="AC348" s="321">
        <v>0.17536388888888887</v>
      </c>
      <c r="AD348" s="321">
        <v>0.18065555555555554</v>
      </c>
    </row>
    <row r="349" spans="24:30">
      <c r="X349" s="327">
        <f t="shared" si="263"/>
        <v>276</v>
      </c>
      <c r="Y349" s="317">
        <v>-3.8377222222222223</v>
      </c>
      <c r="Z349" s="317">
        <v>-4.224013888888889</v>
      </c>
      <c r="AA349" s="328"/>
      <c r="AB349" s="329">
        <f t="shared" ref="AB349" si="281">AB348+1</f>
        <v>276</v>
      </c>
      <c r="AC349" s="321">
        <v>0.18065555555555554</v>
      </c>
      <c r="AD349" s="321">
        <v>0.18585555555555555</v>
      </c>
    </row>
    <row r="350" spans="24:30">
      <c r="X350" s="327">
        <f t="shared" si="263"/>
        <v>277</v>
      </c>
      <c r="Y350" s="317">
        <v>-4.224013888888889</v>
      </c>
      <c r="Z350" s="317">
        <v>-4.6094722222222222</v>
      </c>
      <c r="AA350" s="328"/>
      <c r="AB350" s="329">
        <f t="shared" ref="AB350" si="282">AB349+1</f>
        <v>277</v>
      </c>
      <c r="AC350" s="321">
        <v>0.18585555555555555</v>
      </c>
      <c r="AD350" s="321">
        <v>0.19096111111111111</v>
      </c>
    </row>
    <row r="351" spans="24:30">
      <c r="X351" s="327">
        <f t="shared" si="263"/>
        <v>278</v>
      </c>
      <c r="Y351" s="317">
        <v>-4.6094722222222222</v>
      </c>
      <c r="Z351" s="317">
        <v>-4.9939916666666671</v>
      </c>
      <c r="AA351" s="328"/>
      <c r="AB351" s="329">
        <f t="shared" ref="AB351" si="283">AB350+1</f>
        <v>278</v>
      </c>
      <c r="AC351" s="321">
        <v>0.19096111111111111</v>
      </c>
      <c r="AD351" s="321">
        <v>0.19596666666666665</v>
      </c>
    </row>
    <row r="352" spans="24:30">
      <c r="X352" s="327">
        <f t="shared" si="263"/>
        <v>279</v>
      </c>
      <c r="Y352" s="317">
        <v>-4.9939916666666671</v>
      </c>
      <c r="Z352" s="317">
        <v>-5.3774777777777771</v>
      </c>
      <c r="AA352" s="328"/>
      <c r="AB352" s="329">
        <f t="shared" ref="AB352" si="284">AB351+1</f>
        <v>279</v>
      </c>
      <c r="AC352" s="321">
        <v>0.19596666666666665</v>
      </c>
      <c r="AD352" s="321">
        <v>0.20086666666666667</v>
      </c>
    </row>
    <row r="353" spans="24:30">
      <c r="X353" s="327">
        <f t="shared" si="263"/>
        <v>280</v>
      </c>
      <c r="Y353" s="317">
        <v>-5.3774777777777771</v>
      </c>
      <c r="Z353" s="317">
        <v>-5.7598250000000002</v>
      </c>
      <c r="AA353" s="328"/>
      <c r="AB353" s="329">
        <f t="shared" ref="AB353" si="285">AB352+1</f>
        <v>280</v>
      </c>
      <c r="AC353" s="321">
        <v>0.20086666666666667</v>
      </c>
      <c r="AD353" s="321">
        <v>0.20565555555555556</v>
      </c>
    </row>
    <row r="354" spans="24:30">
      <c r="X354" s="327">
        <f t="shared" si="263"/>
        <v>281</v>
      </c>
      <c r="Y354" s="317">
        <v>-5.7598250000000002</v>
      </c>
      <c r="Z354" s="317">
        <v>-6.1409333333333338</v>
      </c>
      <c r="AA354" s="328"/>
      <c r="AB354" s="329">
        <f t="shared" ref="AB354" si="286">AB353+1</f>
        <v>281</v>
      </c>
      <c r="AC354" s="321">
        <v>0.20565555555555556</v>
      </c>
      <c r="AD354" s="321">
        <v>0.21032500000000001</v>
      </c>
    </row>
    <row r="355" spans="24:30">
      <c r="X355" s="327">
        <f t="shared" si="263"/>
        <v>282</v>
      </c>
      <c r="Y355" s="317">
        <v>-6.1409333333333338</v>
      </c>
      <c r="Z355" s="317">
        <v>-6.5206999999999997</v>
      </c>
      <c r="AA355" s="328"/>
      <c r="AB355" s="329">
        <f t="shared" ref="AB355" si="287">AB354+1</f>
        <v>282</v>
      </c>
      <c r="AC355" s="321">
        <v>0.21032500000000001</v>
      </c>
      <c r="AD355" s="321">
        <v>0.21487500000000001</v>
      </c>
    </row>
    <row r="356" spans="24:30">
      <c r="X356" s="327">
        <f t="shared" si="263"/>
        <v>283</v>
      </c>
      <c r="Y356" s="317">
        <v>-6.5206999999999997</v>
      </c>
      <c r="Z356" s="317">
        <v>-6.899025</v>
      </c>
      <c r="AA356" s="328"/>
      <c r="AB356" s="329">
        <f t="shared" ref="AB356" si="288">AB355+1</f>
        <v>283</v>
      </c>
      <c r="AC356" s="321">
        <v>0.21487500000000001</v>
      </c>
      <c r="AD356" s="321">
        <v>0.21929444444444446</v>
      </c>
    </row>
    <row r="357" spans="24:30">
      <c r="X357" s="327">
        <f t="shared" si="263"/>
        <v>284</v>
      </c>
      <c r="Y357" s="317">
        <v>-6.899025</v>
      </c>
      <c r="Z357" s="317">
        <v>-7.2758055555555554</v>
      </c>
      <c r="AA357" s="328"/>
      <c r="AB357" s="329">
        <f t="shared" ref="AB357" si="289">AB356+1</f>
        <v>284</v>
      </c>
      <c r="AC357" s="321">
        <v>0.21929444444444446</v>
      </c>
      <c r="AD357" s="321">
        <v>0.22358055555555556</v>
      </c>
    </row>
    <row r="358" spans="24:30">
      <c r="X358" s="327">
        <f t="shared" si="263"/>
        <v>285</v>
      </c>
      <c r="Y358" s="317">
        <v>-7.2758055555555554</v>
      </c>
      <c r="Z358" s="317">
        <v>-7.6509361111111112</v>
      </c>
      <c r="AA358" s="328"/>
      <c r="AB358" s="329">
        <f t="shared" ref="AB358" si="290">AB357+1</f>
        <v>285</v>
      </c>
      <c r="AC358" s="321">
        <v>0.22358055555555556</v>
      </c>
      <c r="AD358" s="321">
        <v>0.22773055555555557</v>
      </c>
    </row>
    <row r="359" spans="24:30">
      <c r="X359" s="327">
        <f t="shared" si="263"/>
        <v>286</v>
      </c>
      <c r="Y359" s="317">
        <v>-7.6509361111111112</v>
      </c>
      <c r="Z359" s="317">
        <v>-8.0243111111111123</v>
      </c>
      <c r="AA359" s="328"/>
      <c r="AB359" s="329">
        <f t="shared" ref="AB359" si="291">AB358+1</f>
        <v>286</v>
      </c>
      <c r="AC359" s="321">
        <v>0.22773055555555557</v>
      </c>
      <c r="AD359" s="321">
        <v>0.23173611111111111</v>
      </c>
    </row>
    <row r="360" spans="24:30">
      <c r="X360" s="327">
        <f t="shared" si="263"/>
        <v>287</v>
      </c>
      <c r="Y360" s="317">
        <v>-8.0243111111111123</v>
      </c>
      <c r="Z360" s="317">
        <v>-8.395827777777777</v>
      </c>
      <c r="AA360" s="328"/>
      <c r="AB360" s="329">
        <f t="shared" ref="AB360" si="292">AB359+1</f>
        <v>287</v>
      </c>
      <c r="AC360" s="321">
        <v>0.23173611111111111</v>
      </c>
      <c r="AD360" s="321">
        <v>0.23559444444444444</v>
      </c>
    </row>
    <row r="361" spans="24:30">
      <c r="X361" s="327">
        <f t="shared" si="263"/>
        <v>288</v>
      </c>
      <c r="Y361" s="317">
        <v>-8.395827777777777</v>
      </c>
      <c r="Z361" s="317">
        <v>-8.7653805555555557</v>
      </c>
      <c r="AA361" s="328"/>
      <c r="AB361" s="329">
        <f t="shared" ref="AB361" si="293">AB360+1</f>
        <v>288</v>
      </c>
      <c r="AC361" s="321">
        <v>0.23559444444444444</v>
      </c>
      <c r="AD361" s="321">
        <v>0.23929722222222222</v>
      </c>
    </row>
    <row r="362" spans="24:30">
      <c r="X362" s="327">
        <f t="shared" si="263"/>
        <v>289</v>
      </c>
      <c r="Y362" s="317">
        <v>-8.7653805555555557</v>
      </c>
      <c r="Z362" s="317">
        <v>-9.13286388888889</v>
      </c>
      <c r="AA362" s="328"/>
      <c r="AB362" s="329">
        <f t="shared" ref="AB362" si="294">AB361+1</f>
        <v>289</v>
      </c>
      <c r="AC362" s="321">
        <v>0.23929722222222222</v>
      </c>
      <c r="AD362" s="321">
        <v>0.24284166666666668</v>
      </c>
    </row>
    <row r="363" spans="24:30">
      <c r="X363" s="327">
        <f t="shared" si="263"/>
        <v>290</v>
      </c>
      <c r="Y363" s="317">
        <v>-9.13286388888889</v>
      </c>
      <c r="Z363" s="317">
        <v>-9.4981694444444429</v>
      </c>
      <c r="AA363" s="328"/>
      <c r="AB363" s="329">
        <f t="shared" ref="AB363" si="295">AB362+1</f>
        <v>290</v>
      </c>
      <c r="AC363" s="321">
        <v>0.24284166666666668</v>
      </c>
      <c r="AD363" s="321">
        <v>0.24622222222222223</v>
      </c>
    </row>
    <row r="364" spans="24:30">
      <c r="X364" s="327">
        <f t="shared" si="263"/>
        <v>291</v>
      </c>
      <c r="Y364" s="317">
        <v>-9.4981694444444429</v>
      </c>
      <c r="Z364" s="317">
        <v>-9.8611916666666666</v>
      </c>
      <c r="AA364" s="328"/>
      <c r="AB364" s="329">
        <f t="shared" ref="AB364" si="296">AB363+1</f>
        <v>291</v>
      </c>
      <c r="AC364" s="321">
        <v>0.24622222222222223</v>
      </c>
      <c r="AD364" s="321">
        <v>0.24943611111111111</v>
      </c>
    </row>
    <row r="365" spans="24:30">
      <c r="X365" s="327">
        <f t="shared" si="263"/>
        <v>292</v>
      </c>
      <c r="Y365" s="317">
        <v>-9.8611916666666666</v>
      </c>
      <c r="Z365" s="317">
        <v>-10.221822222222222</v>
      </c>
      <c r="AA365" s="328"/>
      <c r="AB365" s="329">
        <f t="shared" ref="AB365" si="297">AB364+1</f>
        <v>292</v>
      </c>
      <c r="AC365" s="321">
        <v>0.24943611111111111</v>
      </c>
      <c r="AD365" s="321">
        <v>0.2524777777777778</v>
      </c>
    </row>
    <row r="366" spans="24:30">
      <c r="X366" s="327">
        <f t="shared" si="263"/>
        <v>293</v>
      </c>
      <c r="Y366" s="317">
        <v>-10.221822222222222</v>
      </c>
      <c r="Z366" s="317">
        <v>-10.579955555555555</v>
      </c>
      <c r="AA366" s="328"/>
      <c r="AB366" s="329">
        <f t="shared" ref="AB366" si="298">AB365+1</f>
        <v>293</v>
      </c>
      <c r="AC366" s="321">
        <v>0.2524777777777778</v>
      </c>
      <c r="AD366" s="321">
        <v>0.25533888888888889</v>
      </c>
    </row>
    <row r="367" spans="24:30">
      <c r="X367" s="327">
        <f t="shared" si="263"/>
        <v>294</v>
      </c>
      <c r="Y367" s="317">
        <v>-10.579955555555555</v>
      </c>
      <c r="Z367" s="317">
        <v>-10.935480555555555</v>
      </c>
      <c r="AA367" s="328"/>
      <c r="AB367" s="329">
        <f t="shared" ref="AB367" si="299">AB366+1</f>
        <v>294</v>
      </c>
      <c r="AC367" s="321">
        <v>0.25533888888888889</v>
      </c>
      <c r="AD367" s="321">
        <v>0.25802222222222221</v>
      </c>
    </row>
    <row r="368" spans="24:30">
      <c r="X368" s="327">
        <f t="shared" si="263"/>
        <v>295</v>
      </c>
      <c r="Y368" s="317">
        <v>-10.935480555555555</v>
      </c>
      <c r="Z368" s="317">
        <v>-11.288286111111111</v>
      </c>
      <c r="AA368" s="328"/>
      <c r="AB368" s="329">
        <f t="shared" ref="AB368" si="300">AB367+1</f>
        <v>295</v>
      </c>
      <c r="AC368" s="321">
        <v>0.25802222222222221</v>
      </c>
      <c r="AD368" s="321">
        <v>0.26051666666666667</v>
      </c>
    </row>
    <row r="369" spans="24:30">
      <c r="X369" s="327">
        <f t="shared" si="263"/>
        <v>296</v>
      </c>
      <c r="Y369" s="317">
        <v>-11.288286111111111</v>
      </c>
      <c r="Z369" s="317">
        <v>-11.638269444444443</v>
      </c>
      <c r="AA369" s="328"/>
      <c r="AB369" s="329">
        <f t="shared" ref="AB369" si="301">AB368+1</f>
        <v>296</v>
      </c>
      <c r="AC369" s="321">
        <v>0.26051666666666667</v>
      </c>
      <c r="AD369" s="321">
        <v>0.26282222222222223</v>
      </c>
    </row>
    <row r="370" spans="24:30">
      <c r="X370" s="327">
        <f t="shared" si="263"/>
        <v>297</v>
      </c>
      <c r="Y370" s="317">
        <v>-11.638269444444443</v>
      </c>
      <c r="Z370" s="317">
        <v>-11.985313888888887</v>
      </c>
      <c r="AA370" s="328"/>
      <c r="AB370" s="329">
        <f t="shared" ref="AB370" si="302">AB369+1</f>
        <v>297</v>
      </c>
      <c r="AC370" s="321">
        <v>0.26282222222222223</v>
      </c>
      <c r="AD370" s="321">
        <v>0.26493333333333335</v>
      </c>
    </row>
    <row r="371" spans="24:30">
      <c r="X371" s="327">
        <f t="shared" si="263"/>
        <v>298</v>
      </c>
      <c r="Y371" s="317">
        <v>-11.985313888888887</v>
      </c>
      <c r="Z371" s="317">
        <v>-12.32931111111111</v>
      </c>
      <c r="AA371" s="328"/>
      <c r="AB371" s="329">
        <f t="shared" ref="AB371" si="303">AB370+1</f>
        <v>298</v>
      </c>
      <c r="AC371" s="321">
        <v>0.26493333333333335</v>
      </c>
      <c r="AD371" s="321">
        <v>0.26684722222222224</v>
      </c>
    </row>
    <row r="372" spans="24:30">
      <c r="X372" s="327">
        <f t="shared" si="263"/>
        <v>299</v>
      </c>
      <c r="Y372" s="317">
        <v>-12.32931111111111</v>
      </c>
      <c r="Z372" s="317">
        <v>-12.670152777777778</v>
      </c>
      <c r="AA372" s="328"/>
      <c r="AB372" s="329">
        <f t="shared" ref="AB372" si="304">AB371+1</f>
        <v>299</v>
      </c>
      <c r="AC372" s="321">
        <v>0.26684722222222224</v>
      </c>
      <c r="AD372" s="321">
        <v>0.26855833333333334</v>
      </c>
    </row>
    <row r="373" spans="24:30">
      <c r="X373" s="327">
        <f t="shared" si="263"/>
        <v>300</v>
      </c>
      <c r="Y373" s="317">
        <v>-12.670152777777778</v>
      </c>
      <c r="Z373" s="317">
        <v>-13.007722222222222</v>
      </c>
      <c r="AA373" s="328"/>
      <c r="AB373" s="329">
        <f t="shared" ref="AB373" si="305">AB372+1</f>
        <v>300</v>
      </c>
      <c r="AC373" s="321">
        <v>0.26855833333333334</v>
      </c>
      <c r="AD373" s="321">
        <v>0.27006388888888888</v>
      </c>
    </row>
    <row r="374" spans="24:30">
      <c r="X374" s="327">
        <f t="shared" si="263"/>
        <v>301</v>
      </c>
      <c r="Y374" s="317">
        <v>-13.007722222222222</v>
      </c>
      <c r="Z374" s="317">
        <v>-13.34191388888889</v>
      </c>
      <c r="AA374" s="328"/>
      <c r="AB374" s="329">
        <f t="shared" ref="AB374" si="306">AB373+1</f>
        <v>301</v>
      </c>
      <c r="AC374" s="321">
        <v>0.27006388888888888</v>
      </c>
      <c r="AD374" s="321">
        <v>0.27136111111111111</v>
      </c>
    </row>
    <row r="375" spans="24:30">
      <c r="X375" s="327">
        <f t="shared" si="263"/>
        <v>302</v>
      </c>
      <c r="Y375" s="317">
        <v>-13.34191388888889</v>
      </c>
      <c r="Z375" s="317">
        <v>-13.672613888888888</v>
      </c>
      <c r="AA375" s="328"/>
      <c r="AB375" s="329">
        <f t="shared" ref="AB375" si="307">AB374+1</f>
        <v>302</v>
      </c>
      <c r="AC375" s="321">
        <v>0.27136111111111111</v>
      </c>
      <c r="AD375" s="321">
        <v>0.27244722222222223</v>
      </c>
    </row>
    <row r="376" spans="24:30">
      <c r="X376" s="327">
        <f t="shared" si="263"/>
        <v>303</v>
      </c>
      <c r="Y376" s="317">
        <v>-13.672613888888888</v>
      </c>
      <c r="Z376" s="317">
        <v>-13.999705555555554</v>
      </c>
      <c r="AA376" s="328"/>
      <c r="AB376" s="329">
        <f t="shared" ref="AB376:AB439" si="308">AB375+1</f>
        <v>303</v>
      </c>
      <c r="AC376" s="321">
        <v>0.27244722222222223</v>
      </c>
      <c r="AD376" s="321">
        <v>0.27331666666666665</v>
      </c>
    </row>
    <row r="377" spans="24:30">
      <c r="X377" s="327">
        <f t="shared" si="263"/>
        <v>304</v>
      </c>
      <c r="Y377" s="317">
        <v>-13.999705555555554</v>
      </c>
      <c r="Z377" s="317">
        <v>-14.323083333333333</v>
      </c>
      <c r="AA377" s="328"/>
      <c r="AB377" s="329">
        <f t="shared" si="308"/>
        <v>304</v>
      </c>
      <c r="AC377" s="321">
        <v>0.27331666666666665</v>
      </c>
      <c r="AD377" s="321">
        <v>0.27396666666666664</v>
      </c>
    </row>
    <row r="378" spans="24:30">
      <c r="X378" s="327">
        <f t="shared" si="263"/>
        <v>305</v>
      </c>
      <c r="Y378" s="317">
        <v>-14.323083333333333</v>
      </c>
      <c r="Z378" s="317">
        <v>-14.642633333333333</v>
      </c>
      <c r="AA378" s="328"/>
      <c r="AB378" s="329">
        <f t="shared" si="308"/>
        <v>305</v>
      </c>
      <c r="AC378" s="321">
        <v>0.27396666666666664</v>
      </c>
      <c r="AD378" s="321">
        <v>0.27439722222222224</v>
      </c>
    </row>
    <row r="379" spans="24:30">
      <c r="X379" s="327">
        <f t="shared" si="263"/>
        <v>306</v>
      </c>
      <c r="Y379" s="317">
        <v>-14.642633333333333</v>
      </c>
      <c r="Z379" s="317">
        <v>-14.958238888888888</v>
      </c>
      <c r="AA379" s="328"/>
      <c r="AB379" s="329">
        <f t="shared" si="308"/>
        <v>306</v>
      </c>
      <c r="AC379" s="321">
        <v>0.27439722222222224</v>
      </c>
      <c r="AD379" s="321">
        <v>0.27460555555555555</v>
      </c>
    </row>
    <row r="380" spans="24:30">
      <c r="X380" s="327">
        <f t="shared" si="263"/>
        <v>307</v>
      </c>
      <c r="Y380" s="317">
        <v>-14.958238888888888</v>
      </c>
      <c r="Z380" s="317">
        <v>-15.26978888888889</v>
      </c>
      <c r="AA380" s="328"/>
      <c r="AB380" s="329">
        <f t="shared" si="308"/>
        <v>307</v>
      </c>
      <c r="AC380" s="321">
        <v>0.27460555555555555</v>
      </c>
      <c r="AD380" s="321">
        <v>0.27458611111111109</v>
      </c>
    </row>
    <row r="381" spans="24:30">
      <c r="X381" s="327">
        <f t="shared" si="263"/>
        <v>308</v>
      </c>
      <c r="Y381" s="317">
        <v>-15.26978888888889</v>
      </c>
      <c r="Z381" s="317">
        <v>-15.577175</v>
      </c>
      <c r="AA381" s="328"/>
      <c r="AB381" s="329">
        <f t="shared" si="308"/>
        <v>308</v>
      </c>
      <c r="AC381" s="321">
        <v>0.27458611111111109</v>
      </c>
      <c r="AD381" s="321">
        <v>0.27433888888888891</v>
      </c>
    </row>
    <row r="382" spans="24:30">
      <c r="X382" s="327">
        <f t="shared" si="263"/>
        <v>309</v>
      </c>
      <c r="Y382" s="317">
        <v>-15.577175</v>
      </c>
      <c r="Z382" s="317">
        <v>-15.880277777777778</v>
      </c>
      <c r="AA382" s="328"/>
      <c r="AB382" s="329">
        <f t="shared" si="308"/>
        <v>309</v>
      </c>
      <c r="AC382" s="321">
        <v>0.27433888888888891</v>
      </c>
      <c r="AD382" s="321">
        <v>0.27386388888888891</v>
      </c>
    </row>
    <row r="383" spans="24:30">
      <c r="X383" s="327">
        <f t="shared" si="263"/>
        <v>310</v>
      </c>
      <c r="Y383" s="317">
        <v>-15.880277777777778</v>
      </c>
      <c r="Z383" s="317">
        <v>-16.178991666666668</v>
      </c>
      <c r="AA383" s="328"/>
      <c r="AB383" s="329">
        <f t="shared" si="308"/>
        <v>310</v>
      </c>
      <c r="AC383" s="321">
        <v>0.27386388888888891</v>
      </c>
      <c r="AD383" s="321">
        <v>0.27315555555555554</v>
      </c>
    </row>
    <row r="384" spans="24:30">
      <c r="X384" s="327">
        <f t="shared" si="263"/>
        <v>311</v>
      </c>
      <c r="Y384" s="317">
        <v>-16.178991666666668</v>
      </c>
      <c r="Z384" s="317">
        <v>-16.473197222222222</v>
      </c>
      <c r="AA384" s="328"/>
      <c r="AB384" s="329">
        <f t="shared" si="308"/>
        <v>311</v>
      </c>
      <c r="AC384" s="321">
        <v>0.27315555555555554</v>
      </c>
      <c r="AD384" s="321">
        <v>0.27221666666666666</v>
      </c>
    </row>
    <row r="385" spans="24:30">
      <c r="X385" s="327">
        <f t="shared" si="263"/>
        <v>312</v>
      </c>
      <c r="Y385" s="317">
        <v>-16.473197222222222</v>
      </c>
      <c r="Z385" s="317">
        <v>-16.762788888888888</v>
      </c>
      <c r="AA385" s="328"/>
      <c r="AB385" s="329">
        <f t="shared" si="308"/>
        <v>312</v>
      </c>
      <c r="AC385" s="321">
        <v>0.27221666666666666</v>
      </c>
      <c r="AD385" s="321">
        <v>0.27104166666666668</v>
      </c>
    </row>
    <row r="386" spans="24:30">
      <c r="X386" s="327">
        <f t="shared" si="263"/>
        <v>313</v>
      </c>
      <c r="Y386" s="317">
        <v>-16.762788888888888</v>
      </c>
      <c r="Z386" s="317">
        <v>-17.047650000000001</v>
      </c>
      <c r="AA386" s="328"/>
      <c r="AB386" s="329">
        <f t="shared" si="308"/>
        <v>313</v>
      </c>
      <c r="AC386" s="321">
        <v>0.27104166666666668</v>
      </c>
      <c r="AD386" s="321">
        <v>0.26963333333333334</v>
      </c>
    </row>
    <row r="387" spans="24:30">
      <c r="X387" s="327">
        <f t="shared" si="263"/>
        <v>314</v>
      </c>
      <c r="Y387" s="317">
        <v>-17.047650000000001</v>
      </c>
      <c r="Z387" s="317">
        <v>-17.327669444444446</v>
      </c>
      <c r="AA387" s="328"/>
      <c r="AB387" s="329">
        <f t="shared" si="308"/>
        <v>314</v>
      </c>
      <c r="AC387" s="321">
        <v>0.26963333333333334</v>
      </c>
      <c r="AD387" s="321">
        <v>0.26798888888888889</v>
      </c>
    </row>
    <row r="388" spans="24:30">
      <c r="X388" s="327">
        <f t="shared" si="263"/>
        <v>315</v>
      </c>
      <c r="Y388" s="317">
        <v>-17.327669444444446</v>
      </c>
      <c r="Z388" s="317">
        <v>-17.60273888888889</v>
      </c>
      <c r="AA388" s="328"/>
      <c r="AB388" s="329">
        <f t="shared" si="308"/>
        <v>315</v>
      </c>
      <c r="AC388" s="321">
        <v>0.26798888888888889</v>
      </c>
      <c r="AD388" s="321">
        <v>0.26610833333333334</v>
      </c>
    </row>
    <row r="389" spans="24:30">
      <c r="X389" s="327">
        <f t="shared" si="263"/>
        <v>316</v>
      </c>
      <c r="Y389" s="317">
        <v>-17.60273888888889</v>
      </c>
      <c r="Z389" s="317">
        <v>-17.872744444444447</v>
      </c>
      <c r="AA389" s="328"/>
      <c r="AB389" s="329">
        <f t="shared" si="308"/>
        <v>316</v>
      </c>
      <c r="AC389" s="321">
        <v>0.26610833333333334</v>
      </c>
      <c r="AD389" s="321">
        <v>0.26399166666666668</v>
      </c>
    </row>
    <row r="390" spans="24:30">
      <c r="X390" s="327">
        <f t="shared" si="263"/>
        <v>317</v>
      </c>
      <c r="Y390" s="317">
        <v>-17.872744444444447</v>
      </c>
      <c r="Z390" s="317">
        <v>-18.137580555555555</v>
      </c>
      <c r="AA390" s="328"/>
      <c r="AB390" s="329">
        <f t="shared" si="308"/>
        <v>317</v>
      </c>
      <c r="AC390" s="321">
        <v>0.26399166666666668</v>
      </c>
      <c r="AD390" s="321">
        <v>0.26163888888888887</v>
      </c>
    </row>
    <row r="391" spans="24:30">
      <c r="X391" s="327">
        <f t="shared" si="263"/>
        <v>318</v>
      </c>
      <c r="Y391" s="317">
        <v>-18.137580555555555</v>
      </c>
      <c r="Z391" s="317">
        <v>-18.397136111111109</v>
      </c>
      <c r="AA391" s="328"/>
      <c r="AB391" s="329">
        <f t="shared" si="308"/>
        <v>318</v>
      </c>
      <c r="AC391" s="321">
        <v>0.26163888888888887</v>
      </c>
      <c r="AD391" s="321">
        <v>0.25905</v>
      </c>
    </row>
    <row r="392" spans="24:30">
      <c r="X392" s="327">
        <f t="shared" si="263"/>
        <v>319</v>
      </c>
      <c r="Y392" s="317">
        <v>-18.397136111111109</v>
      </c>
      <c r="Z392" s="317">
        <v>-18.651302777777776</v>
      </c>
      <c r="AA392" s="328"/>
      <c r="AB392" s="329">
        <f t="shared" si="308"/>
        <v>319</v>
      </c>
      <c r="AC392" s="321">
        <v>0.25905</v>
      </c>
      <c r="AD392" s="321">
        <v>0.25622777777777778</v>
      </c>
    </row>
    <row r="393" spans="24:30">
      <c r="X393" s="327">
        <f t="shared" si="263"/>
        <v>320</v>
      </c>
      <c r="Y393" s="317">
        <v>-18.651302777777776</v>
      </c>
      <c r="Z393" s="317">
        <v>-18.899972222222221</v>
      </c>
      <c r="AA393" s="328"/>
      <c r="AB393" s="329">
        <f t="shared" si="308"/>
        <v>320</v>
      </c>
      <c r="AC393" s="321">
        <v>0.25622777777777778</v>
      </c>
      <c r="AD393" s="321">
        <v>0.25316944444444445</v>
      </c>
    </row>
    <row r="394" spans="24:30">
      <c r="X394" s="327">
        <f t="shared" si="263"/>
        <v>321</v>
      </c>
      <c r="Y394" s="317">
        <v>-18.899972222222221</v>
      </c>
      <c r="Z394" s="317">
        <v>-19.143038888888888</v>
      </c>
      <c r="AA394" s="328"/>
      <c r="AB394" s="329">
        <f t="shared" si="308"/>
        <v>321</v>
      </c>
      <c r="AC394" s="321">
        <v>0.25316944444444445</v>
      </c>
      <c r="AD394" s="321">
        <v>0.24988055555555555</v>
      </c>
    </row>
    <row r="395" spans="24:30">
      <c r="X395" s="327">
        <f t="shared" si="263"/>
        <v>322</v>
      </c>
      <c r="Y395" s="317">
        <v>-19.143038888888888</v>
      </c>
      <c r="Z395" s="317">
        <v>-19.380397222222221</v>
      </c>
      <c r="AA395" s="328"/>
      <c r="AB395" s="329">
        <f t="shared" si="308"/>
        <v>322</v>
      </c>
      <c r="AC395" s="321">
        <v>0.24988055555555555</v>
      </c>
      <c r="AD395" s="321">
        <v>0.24636111111111111</v>
      </c>
    </row>
    <row r="396" spans="24:30">
      <c r="X396" s="327">
        <f t="shared" ref="X396:X439" si="309">X395+1</f>
        <v>323</v>
      </c>
      <c r="Y396" s="317">
        <v>-19.380397222222221</v>
      </c>
      <c r="Z396" s="317">
        <v>-19.611944444444447</v>
      </c>
      <c r="AA396" s="328"/>
      <c r="AB396" s="329">
        <f t="shared" si="308"/>
        <v>323</v>
      </c>
      <c r="AC396" s="321">
        <v>0.24636111111111111</v>
      </c>
      <c r="AD396" s="321">
        <v>0.24261111111111111</v>
      </c>
    </row>
    <row r="397" spans="24:30">
      <c r="X397" s="327">
        <f t="shared" si="309"/>
        <v>324</v>
      </c>
      <c r="Y397" s="317">
        <v>-19.611944444444447</v>
      </c>
      <c r="Z397" s="317">
        <v>-19.837574999999998</v>
      </c>
      <c r="AA397" s="328"/>
      <c r="AB397" s="329">
        <f t="shared" si="308"/>
        <v>324</v>
      </c>
      <c r="AC397" s="321">
        <v>0.24261111111111111</v>
      </c>
      <c r="AD397" s="321">
        <v>0.2386361111111111</v>
      </c>
    </row>
    <row r="398" spans="24:30">
      <c r="X398" s="327">
        <f t="shared" si="309"/>
        <v>325</v>
      </c>
      <c r="Y398" s="317">
        <v>-19.837574999999998</v>
      </c>
      <c r="Z398" s="317">
        <v>-20.057191666666668</v>
      </c>
      <c r="AA398" s="328"/>
      <c r="AB398" s="329">
        <f t="shared" si="308"/>
        <v>325</v>
      </c>
      <c r="AC398" s="321">
        <v>0.2386361111111111</v>
      </c>
      <c r="AD398" s="321">
        <v>0.23443611111111112</v>
      </c>
    </row>
    <row r="399" spans="24:30">
      <c r="X399" s="327">
        <f t="shared" si="309"/>
        <v>326</v>
      </c>
      <c r="Y399" s="317">
        <v>-20.057191666666668</v>
      </c>
      <c r="Z399" s="317">
        <v>-20.270691666666664</v>
      </c>
      <c r="AA399" s="328"/>
      <c r="AB399" s="329">
        <f t="shared" si="308"/>
        <v>326</v>
      </c>
      <c r="AC399" s="321">
        <v>0.23443611111111112</v>
      </c>
      <c r="AD399" s="321">
        <v>0.23001388888888891</v>
      </c>
    </row>
    <row r="400" spans="24:30">
      <c r="X400" s="327">
        <f t="shared" si="309"/>
        <v>327</v>
      </c>
      <c r="Y400" s="317">
        <v>-20.270691666666664</v>
      </c>
      <c r="Z400" s="317">
        <v>-20.477980555555554</v>
      </c>
      <c r="AA400" s="328"/>
      <c r="AB400" s="329">
        <f t="shared" si="308"/>
        <v>327</v>
      </c>
      <c r="AC400" s="321">
        <v>0.23001388888888891</v>
      </c>
      <c r="AD400" s="321">
        <v>0.22537500000000002</v>
      </c>
    </row>
    <row r="401" spans="24:30">
      <c r="X401" s="327">
        <f t="shared" si="309"/>
        <v>328</v>
      </c>
      <c r="Y401" s="317">
        <v>-20.477980555555554</v>
      </c>
      <c r="Z401" s="317">
        <v>-20.678955555555557</v>
      </c>
      <c r="AA401" s="328"/>
      <c r="AB401" s="329">
        <f t="shared" si="308"/>
        <v>328</v>
      </c>
      <c r="AC401" s="321">
        <v>0.22537500000000002</v>
      </c>
      <c r="AD401" s="321">
        <v>0.22051944444444446</v>
      </c>
    </row>
    <row r="402" spans="24:30">
      <c r="X402" s="327">
        <f t="shared" si="309"/>
        <v>329</v>
      </c>
      <c r="Y402" s="317">
        <v>-20.678955555555557</v>
      </c>
      <c r="Z402" s="317">
        <v>-20.873527777777777</v>
      </c>
      <c r="AA402" s="328"/>
      <c r="AB402" s="329">
        <f t="shared" si="308"/>
        <v>329</v>
      </c>
      <c r="AC402" s="321">
        <v>0.22051944444444446</v>
      </c>
      <c r="AD402" s="321">
        <v>0.21545555555555557</v>
      </c>
    </row>
    <row r="403" spans="24:30">
      <c r="X403" s="327">
        <f t="shared" si="309"/>
        <v>330</v>
      </c>
      <c r="Y403" s="317">
        <v>-20.873527777777777</v>
      </c>
      <c r="Z403" s="317">
        <v>-21.061605555555555</v>
      </c>
      <c r="AA403" s="328"/>
      <c r="AB403" s="329">
        <f t="shared" si="308"/>
        <v>330</v>
      </c>
      <c r="AC403" s="321">
        <v>0.21545555555555557</v>
      </c>
      <c r="AD403" s="321">
        <v>0.21018333333333333</v>
      </c>
    </row>
    <row r="404" spans="24:30">
      <c r="X404" s="327">
        <f t="shared" si="309"/>
        <v>331</v>
      </c>
      <c r="Y404" s="317">
        <v>-21.061605555555555</v>
      </c>
      <c r="Z404" s="317">
        <v>-21.243091666666668</v>
      </c>
      <c r="AA404" s="328"/>
      <c r="AB404" s="329">
        <f t="shared" si="308"/>
        <v>331</v>
      </c>
      <c r="AC404" s="321">
        <v>0.21018333333333333</v>
      </c>
      <c r="AD404" s="321">
        <v>0.20470833333333335</v>
      </c>
    </row>
    <row r="405" spans="24:30">
      <c r="X405" s="327">
        <f t="shared" si="309"/>
        <v>332</v>
      </c>
      <c r="Y405" s="317">
        <v>-21.243091666666668</v>
      </c>
      <c r="Z405" s="317">
        <v>-21.417905555555556</v>
      </c>
      <c r="AA405" s="328"/>
      <c r="AB405" s="329">
        <f t="shared" si="308"/>
        <v>332</v>
      </c>
      <c r="AC405" s="321">
        <v>0.20470833333333335</v>
      </c>
      <c r="AD405" s="321">
        <v>0.19903611111111111</v>
      </c>
    </row>
    <row r="406" spans="24:30">
      <c r="X406" s="327">
        <f t="shared" si="309"/>
        <v>333</v>
      </c>
      <c r="Y406" s="317">
        <v>-21.417905555555556</v>
      </c>
      <c r="Z406" s="317">
        <v>-21.58595833333333</v>
      </c>
      <c r="AA406" s="328"/>
      <c r="AB406" s="329">
        <f t="shared" si="308"/>
        <v>333</v>
      </c>
      <c r="AC406" s="321">
        <v>0.19903611111111111</v>
      </c>
      <c r="AD406" s="321">
        <v>0.19317222222222222</v>
      </c>
    </row>
    <row r="407" spans="24:30">
      <c r="X407" s="327">
        <f t="shared" si="309"/>
        <v>334</v>
      </c>
      <c r="Y407" s="317">
        <v>-21.58595833333333</v>
      </c>
      <c r="Z407" s="317">
        <v>-21.747166666666669</v>
      </c>
      <c r="AA407" s="328"/>
      <c r="AB407" s="329">
        <f t="shared" si="308"/>
        <v>334</v>
      </c>
      <c r="AC407" s="321">
        <v>0.19317222222222222</v>
      </c>
      <c r="AD407" s="321">
        <v>0.18711944444444442</v>
      </c>
    </row>
    <row r="408" spans="24:30">
      <c r="X408" s="327">
        <f t="shared" si="309"/>
        <v>335</v>
      </c>
      <c r="Y408" s="317">
        <v>-21.747166666666669</v>
      </c>
      <c r="Z408" s="317">
        <v>-21.90144722222222</v>
      </c>
      <c r="AA408" s="328"/>
      <c r="AB408" s="329">
        <f t="shared" si="308"/>
        <v>335</v>
      </c>
      <c r="AC408" s="321">
        <v>0.18711944444444442</v>
      </c>
      <c r="AD408" s="321">
        <v>0.18088611111111111</v>
      </c>
    </row>
    <row r="409" spans="24:30">
      <c r="X409" s="327">
        <f t="shared" si="309"/>
        <v>336</v>
      </c>
      <c r="Y409" s="317">
        <v>-21.90144722222222</v>
      </c>
      <c r="Z409" s="317">
        <v>-22.048727777777778</v>
      </c>
      <c r="AA409" s="328"/>
      <c r="AB409" s="329">
        <f t="shared" si="308"/>
        <v>336</v>
      </c>
      <c r="AC409" s="321">
        <v>0.18088611111111111</v>
      </c>
      <c r="AD409" s="321">
        <v>0.17447777777777776</v>
      </c>
    </row>
    <row r="410" spans="24:30">
      <c r="X410" s="327">
        <f t="shared" si="309"/>
        <v>337</v>
      </c>
      <c r="Y410" s="317">
        <v>-22.048727777777778</v>
      </c>
      <c r="Z410" s="317">
        <v>-22.188930555555554</v>
      </c>
      <c r="AA410" s="328"/>
      <c r="AB410" s="329">
        <f t="shared" si="308"/>
        <v>337</v>
      </c>
      <c r="AC410" s="321">
        <v>0.17447777777777776</v>
      </c>
      <c r="AD410" s="321">
        <v>0.16789722222222223</v>
      </c>
    </row>
    <row r="411" spans="24:30">
      <c r="X411" s="327">
        <f t="shared" si="309"/>
        <v>338</v>
      </c>
      <c r="Y411" s="317">
        <v>-22.188930555555554</v>
      </c>
      <c r="Z411" s="317">
        <v>-22.321980555555555</v>
      </c>
      <c r="AA411" s="328"/>
      <c r="AB411" s="329">
        <f t="shared" si="308"/>
        <v>338</v>
      </c>
      <c r="AC411" s="321">
        <v>0.16789722222222223</v>
      </c>
      <c r="AD411" s="321">
        <v>0.16115833333333332</v>
      </c>
    </row>
    <row r="412" spans="24:30">
      <c r="X412" s="327">
        <f t="shared" si="309"/>
        <v>339</v>
      </c>
      <c r="Y412" s="317">
        <v>-22.321980555555555</v>
      </c>
      <c r="Z412" s="317">
        <v>-22.447811111111111</v>
      </c>
      <c r="AA412" s="328"/>
      <c r="AB412" s="329">
        <f t="shared" si="308"/>
        <v>339</v>
      </c>
      <c r="AC412" s="321">
        <v>0.16115833333333332</v>
      </c>
      <c r="AD412" s="321">
        <v>0.1542611111111111</v>
      </c>
    </row>
    <row r="413" spans="24:30">
      <c r="X413" s="327">
        <f t="shared" si="309"/>
        <v>340</v>
      </c>
      <c r="Y413" s="317">
        <v>-22.447811111111111</v>
      </c>
      <c r="Z413" s="317">
        <v>-22.566358333333334</v>
      </c>
      <c r="AA413" s="328"/>
      <c r="AB413" s="329">
        <f t="shared" si="308"/>
        <v>340</v>
      </c>
      <c r="AC413" s="321">
        <v>0.1542611111111111</v>
      </c>
      <c r="AD413" s="321">
        <v>0.14721388888888889</v>
      </c>
    </row>
    <row r="414" spans="24:30">
      <c r="X414" s="327">
        <f t="shared" si="309"/>
        <v>341</v>
      </c>
      <c r="Y414" s="317">
        <v>-22.566358333333334</v>
      </c>
      <c r="Z414" s="317">
        <v>-22.67755277777778</v>
      </c>
      <c r="AA414" s="328"/>
      <c r="AB414" s="329">
        <f t="shared" si="308"/>
        <v>341</v>
      </c>
      <c r="AC414" s="321">
        <v>0.14721388888888889</v>
      </c>
      <c r="AD414" s="321">
        <v>0.14002500000000001</v>
      </c>
    </row>
    <row r="415" spans="24:30">
      <c r="X415" s="327">
        <f t="shared" si="309"/>
        <v>342</v>
      </c>
      <c r="Y415" s="317">
        <v>-22.67755277777778</v>
      </c>
      <c r="Z415" s="317">
        <v>-22.781341666666666</v>
      </c>
      <c r="AA415" s="328"/>
      <c r="AB415" s="329">
        <f t="shared" si="308"/>
        <v>342</v>
      </c>
      <c r="AC415" s="321">
        <v>0.14002500000000001</v>
      </c>
      <c r="AD415" s="321">
        <v>0.13270555555555555</v>
      </c>
    </row>
    <row r="416" spans="24:30">
      <c r="X416" s="327">
        <f t="shared" si="309"/>
        <v>343</v>
      </c>
      <c r="Y416" s="317">
        <v>-22.781341666666666</v>
      </c>
      <c r="Z416" s="317">
        <v>-22.877666666666666</v>
      </c>
      <c r="AA416" s="328"/>
      <c r="AB416" s="329">
        <f t="shared" si="308"/>
        <v>343</v>
      </c>
      <c r="AC416" s="321">
        <v>0.13270555555555555</v>
      </c>
      <c r="AD416" s="321">
        <v>0.12525555555555556</v>
      </c>
    </row>
    <row r="417" spans="24:30">
      <c r="X417" s="327">
        <f t="shared" si="309"/>
        <v>344</v>
      </c>
      <c r="Y417" s="317">
        <v>-22.877666666666666</v>
      </c>
      <c r="Z417" s="317">
        <v>-22.966474999999999</v>
      </c>
      <c r="AA417" s="328"/>
      <c r="AB417" s="329">
        <f t="shared" si="308"/>
        <v>344</v>
      </c>
      <c r="AC417" s="321">
        <v>0.12525555555555556</v>
      </c>
      <c r="AD417" s="321">
        <v>0.11769166666666667</v>
      </c>
    </row>
    <row r="418" spans="24:30">
      <c r="X418" s="327">
        <f t="shared" si="309"/>
        <v>345</v>
      </c>
      <c r="Y418" s="317">
        <v>-22.966474999999999</v>
      </c>
      <c r="Z418" s="317">
        <v>-23.047713888888889</v>
      </c>
      <c r="AA418" s="328"/>
      <c r="AB418" s="329">
        <f t="shared" si="308"/>
        <v>345</v>
      </c>
      <c r="AC418" s="321">
        <v>0.11769166666666667</v>
      </c>
      <c r="AD418" s="321">
        <v>0.1100138888888889</v>
      </c>
    </row>
    <row r="419" spans="24:30">
      <c r="X419" s="327">
        <f t="shared" si="309"/>
        <v>346</v>
      </c>
      <c r="Y419" s="317">
        <v>-23.047713888888889</v>
      </c>
      <c r="Z419" s="317">
        <v>-23.121344444444446</v>
      </c>
      <c r="AA419" s="328"/>
      <c r="AB419" s="329">
        <f t="shared" si="308"/>
        <v>346</v>
      </c>
      <c r="AC419" s="321">
        <v>0.1100138888888889</v>
      </c>
      <c r="AD419" s="321">
        <v>0.10223611111111111</v>
      </c>
    </row>
    <row r="420" spans="24:30">
      <c r="X420" s="327">
        <f t="shared" si="309"/>
        <v>347</v>
      </c>
      <c r="Y420" s="317">
        <v>-23.121344444444446</v>
      </c>
      <c r="Z420" s="317">
        <v>-23.187322222222221</v>
      </c>
      <c r="AA420" s="328"/>
      <c r="AB420" s="329">
        <f t="shared" si="308"/>
        <v>347</v>
      </c>
      <c r="AC420" s="321">
        <v>0.10223611111111111</v>
      </c>
      <c r="AD420" s="321">
        <v>9.4366666666666654E-2</v>
      </c>
    </row>
    <row r="421" spans="24:30">
      <c r="X421" s="327">
        <f t="shared" si="309"/>
        <v>348</v>
      </c>
      <c r="Y421" s="317">
        <v>-23.187322222222221</v>
      </c>
      <c r="Z421" s="317">
        <v>-23.245608333333333</v>
      </c>
      <c r="AA421" s="328"/>
      <c r="AB421" s="329">
        <f t="shared" si="308"/>
        <v>348</v>
      </c>
      <c r="AC421" s="321">
        <v>9.4366666666666654E-2</v>
      </c>
      <c r="AD421" s="321">
        <v>8.6413888888888887E-2</v>
      </c>
    </row>
    <row r="422" spans="24:30">
      <c r="X422" s="327">
        <f t="shared" si="309"/>
        <v>349</v>
      </c>
      <c r="Y422" s="317">
        <v>-23.245608333333333</v>
      </c>
      <c r="Z422" s="317">
        <v>-23.296172222222225</v>
      </c>
      <c r="AA422" s="328"/>
      <c r="AB422" s="329">
        <f t="shared" si="308"/>
        <v>349</v>
      </c>
      <c r="AC422" s="321">
        <v>8.6413888888888887E-2</v>
      </c>
      <c r="AD422" s="321">
        <v>7.8383333333333333E-2</v>
      </c>
    </row>
    <row r="423" spans="24:30">
      <c r="X423" s="327">
        <f t="shared" si="309"/>
        <v>350</v>
      </c>
      <c r="Y423" s="317">
        <v>-23.296172222222225</v>
      </c>
      <c r="Z423" s="317">
        <v>-23.338980555555555</v>
      </c>
      <c r="AA423" s="328"/>
      <c r="AB423" s="329">
        <f t="shared" si="308"/>
        <v>350</v>
      </c>
      <c r="AC423" s="321">
        <v>7.8383333333333333E-2</v>
      </c>
      <c r="AD423" s="321">
        <v>7.0288888888888887E-2</v>
      </c>
    </row>
    <row r="424" spans="24:30">
      <c r="X424" s="327">
        <f t="shared" si="309"/>
        <v>351</v>
      </c>
      <c r="Y424" s="317">
        <v>-23.338980555555555</v>
      </c>
      <c r="Z424" s="317">
        <v>-23.374011111111113</v>
      </c>
      <c r="AA424" s="328"/>
      <c r="AB424" s="329">
        <f t="shared" si="308"/>
        <v>351</v>
      </c>
      <c r="AC424" s="321">
        <v>7.0288888888888887E-2</v>
      </c>
      <c r="AD424" s="321">
        <v>6.2136111111111114E-2</v>
      </c>
    </row>
    <row r="425" spans="24:30">
      <c r="X425" s="327">
        <f t="shared" si="309"/>
        <v>352</v>
      </c>
      <c r="Y425" s="317">
        <v>-23.374011111111113</v>
      </c>
      <c r="Z425" s="317">
        <v>-23.40123611111111</v>
      </c>
      <c r="AA425" s="328"/>
      <c r="AB425" s="329">
        <f t="shared" si="308"/>
        <v>352</v>
      </c>
      <c r="AC425" s="321">
        <v>6.2136111111111114E-2</v>
      </c>
      <c r="AD425" s="321">
        <v>5.393888888888889E-2</v>
      </c>
    </row>
    <row r="426" spans="24:30">
      <c r="X426" s="327">
        <f t="shared" si="309"/>
        <v>353</v>
      </c>
      <c r="Y426" s="317">
        <v>-23.40123611111111</v>
      </c>
      <c r="Z426" s="317">
        <v>-23.420647222222222</v>
      </c>
      <c r="AA426" s="328"/>
      <c r="AB426" s="329">
        <f t="shared" si="308"/>
        <v>353</v>
      </c>
      <c r="AC426" s="321">
        <v>5.393888888888889E-2</v>
      </c>
      <c r="AD426" s="321">
        <v>4.5700000000000005E-2</v>
      </c>
    </row>
    <row r="427" spans="24:30">
      <c r="X427" s="327">
        <f t="shared" si="309"/>
        <v>354</v>
      </c>
      <c r="Y427" s="317">
        <v>-23.420647222222222</v>
      </c>
      <c r="Z427" s="317">
        <v>-23.432222222222222</v>
      </c>
      <c r="AA427" s="328"/>
      <c r="AB427" s="329">
        <f t="shared" si="308"/>
        <v>354</v>
      </c>
      <c r="AC427" s="321">
        <v>4.5700000000000005E-2</v>
      </c>
      <c r="AD427" s="321">
        <v>3.7433333333333332E-2</v>
      </c>
    </row>
    <row r="428" spans="24:30">
      <c r="X428" s="327">
        <f t="shared" si="309"/>
        <v>355</v>
      </c>
      <c r="Y428" s="317">
        <v>-23.432222222222222</v>
      </c>
      <c r="Z428" s="317">
        <v>-23.435955555555555</v>
      </c>
      <c r="AA428" s="328"/>
      <c r="AB428" s="329">
        <f t="shared" si="308"/>
        <v>355</v>
      </c>
      <c r="AC428" s="321">
        <v>3.7433333333333332E-2</v>
      </c>
      <c r="AD428" s="321">
        <v>2.9149999999999999E-2</v>
      </c>
    </row>
    <row r="429" spans="24:30">
      <c r="X429" s="327">
        <f t="shared" si="309"/>
        <v>356</v>
      </c>
      <c r="Y429" s="317">
        <v>-23.435955555555555</v>
      </c>
      <c r="Z429" s="317">
        <v>-23.431841666666667</v>
      </c>
      <c r="AA429" s="328"/>
      <c r="AB429" s="329">
        <f t="shared" si="308"/>
        <v>356</v>
      </c>
      <c r="AC429" s="321">
        <v>2.9149999999999999E-2</v>
      </c>
      <c r="AD429" s="321">
        <v>2.0855555555555554E-2</v>
      </c>
    </row>
    <row r="430" spans="24:30">
      <c r="X430" s="327">
        <f t="shared" si="309"/>
        <v>357</v>
      </c>
      <c r="Y430" s="317">
        <v>-23.431841666666667</v>
      </c>
      <c r="Z430" s="317">
        <v>-23.419883333333335</v>
      </c>
      <c r="AA430" s="328"/>
      <c r="AB430" s="329">
        <f t="shared" si="308"/>
        <v>357</v>
      </c>
      <c r="AC430" s="321">
        <v>2.0855555555555554E-2</v>
      </c>
      <c r="AD430" s="321">
        <v>1.2558333333333333E-2</v>
      </c>
    </row>
    <row r="431" spans="24:30">
      <c r="X431" s="327">
        <f t="shared" si="309"/>
        <v>358</v>
      </c>
      <c r="Y431" s="317">
        <v>-23.419883333333335</v>
      </c>
      <c r="Z431" s="317">
        <v>-23.400077777777778</v>
      </c>
      <c r="AA431" s="328"/>
      <c r="AB431" s="329">
        <f t="shared" si="308"/>
        <v>358</v>
      </c>
      <c r="AC431" s="321">
        <v>1.2558333333333333E-2</v>
      </c>
      <c r="AD431" s="321">
        <v>4.2750000000000002E-3</v>
      </c>
    </row>
    <row r="432" spans="24:30">
      <c r="X432" s="327">
        <f t="shared" si="309"/>
        <v>359</v>
      </c>
      <c r="Y432" s="317">
        <v>-23.400077777777778</v>
      </c>
      <c r="Z432" s="317">
        <v>-23.372433333333333</v>
      </c>
      <c r="AA432" s="328"/>
      <c r="AB432" s="329">
        <f t="shared" si="308"/>
        <v>359</v>
      </c>
      <c r="AC432" s="321">
        <v>4.2750000000000002E-3</v>
      </c>
      <c r="AD432" s="321">
        <v>3.9916666666666668E-3</v>
      </c>
    </row>
    <row r="433" spans="24:30">
      <c r="X433" s="327">
        <f t="shared" si="309"/>
        <v>360</v>
      </c>
      <c r="Y433" s="317">
        <v>-23.372433333333333</v>
      </c>
      <c r="Z433" s="317">
        <v>-23.336966666666665</v>
      </c>
      <c r="AA433" s="328"/>
      <c r="AB433" s="329">
        <f t="shared" si="308"/>
        <v>360</v>
      </c>
      <c r="AC433" s="321">
        <v>3.9916666666666668E-3</v>
      </c>
      <c r="AD433" s="321">
        <v>1.2230555555555555E-2</v>
      </c>
    </row>
    <row r="434" spans="24:30">
      <c r="X434" s="327">
        <f t="shared" si="309"/>
        <v>361</v>
      </c>
      <c r="Y434" s="317">
        <v>-23.336966666666665</v>
      </c>
      <c r="Z434" s="317">
        <v>-23.293688888888891</v>
      </c>
      <c r="AA434" s="328"/>
      <c r="AB434" s="329">
        <f t="shared" si="308"/>
        <v>361</v>
      </c>
      <c r="AC434" s="321">
        <v>1.2230555555555555E-2</v>
      </c>
      <c r="AD434" s="321">
        <v>-1.2902777777777777E-2</v>
      </c>
    </row>
    <row r="435" spans="24:30">
      <c r="X435" s="327">
        <f t="shared" si="309"/>
        <v>362</v>
      </c>
      <c r="Y435" s="317">
        <v>-23.293688888888891</v>
      </c>
      <c r="Z435" s="317">
        <v>-23.242619444444447</v>
      </c>
      <c r="AA435" s="328"/>
      <c r="AB435" s="329">
        <f t="shared" si="308"/>
        <v>362</v>
      </c>
      <c r="AC435" s="321">
        <v>-1.2902777777777777E-2</v>
      </c>
      <c r="AD435" s="321">
        <v>-4.7500000000000007E-3</v>
      </c>
    </row>
    <row r="436" spans="24:30">
      <c r="X436" s="327">
        <f t="shared" si="309"/>
        <v>363</v>
      </c>
      <c r="Y436" s="317">
        <v>-23.242619444444447</v>
      </c>
      <c r="Z436" s="317">
        <v>-23.183786111111111</v>
      </c>
      <c r="AA436" s="328"/>
      <c r="AB436" s="329">
        <f t="shared" si="308"/>
        <v>363</v>
      </c>
      <c r="AC436" s="321">
        <v>-4.7500000000000007E-3</v>
      </c>
      <c r="AD436" s="321">
        <v>-2.9986111111111109E-2</v>
      </c>
    </row>
    <row r="437" spans="24:30">
      <c r="X437" s="327">
        <f t="shared" si="309"/>
        <v>364</v>
      </c>
      <c r="Y437" s="317">
        <v>-23.183786111111111</v>
      </c>
      <c r="Z437" s="317">
        <v>-23.117216666666668</v>
      </c>
      <c r="AA437" s="328"/>
      <c r="AB437" s="329">
        <f t="shared" si="308"/>
        <v>364</v>
      </c>
      <c r="AC437" s="321">
        <v>-2.9986111111111109E-2</v>
      </c>
      <c r="AD437" s="321">
        <v>-2.1952777777777779E-2</v>
      </c>
    </row>
    <row r="438" spans="24:30">
      <c r="X438" s="327">
        <f t="shared" si="309"/>
        <v>365</v>
      </c>
      <c r="Y438" s="317">
        <v>-23.117216666666668</v>
      </c>
      <c r="Z438" s="317">
        <v>-23.042938888888891</v>
      </c>
      <c r="AA438" s="328"/>
      <c r="AB438" s="329">
        <f t="shared" si="308"/>
        <v>365</v>
      </c>
      <c r="AC438" s="321">
        <v>-2.1952777777777779E-2</v>
      </c>
      <c r="AD438" s="321">
        <v>-4.7330555555555556E-2</v>
      </c>
    </row>
    <row r="439" spans="24:30">
      <c r="X439" s="327">
        <f t="shared" si="309"/>
        <v>366</v>
      </c>
      <c r="Y439" s="317">
        <v>-23.042938888888891</v>
      </c>
      <c r="Z439" s="162"/>
      <c r="AA439" s="328"/>
      <c r="AB439" s="329">
        <f t="shared" si="308"/>
        <v>366</v>
      </c>
      <c r="AC439" s="321">
        <v>-4.7330555555555556E-2</v>
      </c>
      <c r="AD439" s="162"/>
    </row>
  </sheetData>
  <mergeCells count="34">
    <mergeCell ref="B2:F2"/>
    <mergeCell ref="AF73:AH73"/>
    <mergeCell ref="X73:Z73"/>
    <mergeCell ref="X38:AJ38"/>
    <mergeCell ref="AF87:AH87"/>
    <mergeCell ref="H2:S2"/>
    <mergeCell ref="U3:V3"/>
    <mergeCell ref="L161:S161"/>
    <mergeCell ref="U74:V74"/>
    <mergeCell ref="B108:F108"/>
    <mergeCell ref="B73:F73"/>
    <mergeCell ref="U4:V4"/>
    <mergeCell ref="H74:H75"/>
    <mergeCell ref="D125:E125"/>
    <mergeCell ref="H73:S73"/>
    <mergeCell ref="H126:H127"/>
    <mergeCell ref="J109:K109"/>
    <mergeCell ref="I109:I110"/>
    <mergeCell ref="L257:S257"/>
    <mergeCell ref="B125:C125"/>
    <mergeCell ref="U193:V193"/>
    <mergeCell ref="X4:AJ4"/>
    <mergeCell ref="AB73:AD73"/>
    <mergeCell ref="H3:H4"/>
    <mergeCell ref="I3:I4"/>
    <mergeCell ref="J3:K3"/>
    <mergeCell ref="L191:S191"/>
    <mergeCell ref="J74:K74"/>
    <mergeCell ref="H108:S108"/>
    <mergeCell ref="I126:I127"/>
    <mergeCell ref="H125:S125"/>
    <mergeCell ref="I74:I75"/>
    <mergeCell ref="J126:K126"/>
    <mergeCell ref="H109:H1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67"/>
  <sheetViews>
    <sheetView workbookViewId="0">
      <selection activeCell="B5" sqref="B5:B366"/>
    </sheetView>
  </sheetViews>
  <sheetFormatPr defaultColWidth="9" defaultRowHeight="14.4"/>
  <cols>
    <col min="1" max="1" width="3.5546875" customWidth="1"/>
    <col min="2" max="27" width="8.5546875"/>
    <col min="28" max="28" width="11.5546875" customWidth="1"/>
    <col min="29" max="29" width="10.109375" customWidth="1"/>
    <col min="30" max="30" width="10.44140625" customWidth="1"/>
    <col min="31" max="31" width="9.88671875" customWidth="1"/>
    <col min="32" max="256" width="8.5546875" customWidth="1"/>
  </cols>
  <sheetData>
    <row r="1" spans="1:33">
      <c r="A1" s="370"/>
      <c r="B1" s="371"/>
      <c r="C1" s="372"/>
      <c r="D1" s="372"/>
      <c r="E1" s="373"/>
      <c r="F1" s="372"/>
      <c r="G1" s="370"/>
      <c r="H1" s="372"/>
      <c r="I1" s="374"/>
      <c r="J1" s="372"/>
      <c r="K1" s="372"/>
      <c r="L1" s="372"/>
      <c r="M1" s="375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</row>
    <row r="2" spans="1:33" ht="45.6">
      <c r="A2" s="370"/>
      <c r="B2" s="792" t="s">
        <v>119</v>
      </c>
      <c r="C2" s="794" t="s">
        <v>120</v>
      </c>
      <c r="D2" s="795"/>
      <c r="E2" s="795"/>
      <c r="F2" s="795"/>
      <c r="G2" s="795"/>
      <c r="H2" s="795"/>
      <c r="I2" s="795"/>
      <c r="J2" s="796"/>
      <c r="K2" s="800" t="s">
        <v>121</v>
      </c>
      <c r="L2" s="801"/>
      <c r="M2" s="802" t="s">
        <v>122</v>
      </c>
      <c r="N2" s="803"/>
      <c r="O2" s="804" t="s">
        <v>123</v>
      </c>
      <c r="P2" s="805"/>
      <c r="Q2" s="805"/>
      <c r="R2" s="805"/>
      <c r="S2" s="805"/>
      <c r="T2" s="805"/>
      <c r="U2" s="805"/>
      <c r="V2" s="805"/>
      <c r="W2" s="806"/>
      <c r="X2" s="807" t="s">
        <v>124</v>
      </c>
      <c r="Y2" s="808"/>
      <c r="Z2" s="808"/>
      <c r="AA2" s="809"/>
      <c r="AB2" s="797" t="s">
        <v>125</v>
      </c>
      <c r="AC2" s="798"/>
      <c r="AD2" s="798"/>
      <c r="AE2" s="799"/>
      <c r="AF2" s="376" t="s">
        <v>126</v>
      </c>
      <c r="AG2" s="377"/>
    </row>
    <row r="3" spans="1:33">
      <c r="A3" s="370"/>
      <c r="B3" s="793"/>
      <c r="C3" s="378" t="s">
        <v>127</v>
      </c>
      <c r="D3" s="378" t="s">
        <v>128</v>
      </c>
      <c r="E3" s="378" t="s">
        <v>129</v>
      </c>
      <c r="F3" s="378" t="s">
        <v>130</v>
      </c>
      <c r="G3" s="378" t="s">
        <v>131</v>
      </c>
      <c r="H3" s="378" t="s">
        <v>132</v>
      </c>
      <c r="I3" s="378" t="s">
        <v>133</v>
      </c>
      <c r="J3" s="378" t="s">
        <v>134</v>
      </c>
      <c r="K3" s="379" t="s">
        <v>135</v>
      </c>
      <c r="L3" s="379" t="s">
        <v>136</v>
      </c>
      <c r="M3" s="380" t="s">
        <v>137</v>
      </c>
      <c r="N3" s="381" t="s">
        <v>138</v>
      </c>
      <c r="O3" s="382" t="s">
        <v>139</v>
      </c>
      <c r="P3" s="382" t="s">
        <v>140</v>
      </c>
      <c r="Q3" s="382" t="s">
        <v>141</v>
      </c>
      <c r="R3" s="382" t="s">
        <v>142</v>
      </c>
      <c r="S3" s="382" t="s">
        <v>143</v>
      </c>
      <c r="T3" s="382" t="s">
        <v>144</v>
      </c>
      <c r="U3" s="382" t="s">
        <v>145</v>
      </c>
      <c r="V3" s="382" t="s">
        <v>146</v>
      </c>
      <c r="W3" s="382" t="s">
        <v>147</v>
      </c>
      <c r="X3" s="383" t="s">
        <v>148</v>
      </c>
      <c r="Y3" s="383" t="s">
        <v>149</v>
      </c>
      <c r="Z3" s="383" t="s">
        <v>150</v>
      </c>
      <c r="AA3" s="383" t="s">
        <v>151</v>
      </c>
      <c r="AB3" s="384" t="s">
        <v>152</v>
      </c>
      <c r="AC3" s="384" t="s">
        <v>153</v>
      </c>
      <c r="AD3" s="384" t="s">
        <v>154</v>
      </c>
      <c r="AE3" s="384" t="s">
        <v>155</v>
      </c>
      <c r="AF3" s="385" t="s">
        <v>156</v>
      </c>
      <c r="AG3" s="386"/>
    </row>
    <row r="4" spans="1:33">
      <c r="A4" s="370"/>
      <c r="B4" s="387">
        <v>1</v>
      </c>
      <c r="C4" s="388">
        <f>B4+1</f>
        <v>2</v>
      </c>
      <c r="D4" s="388">
        <f t="shared" ref="D4:AF4" si="0">C4+1</f>
        <v>3</v>
      </c>
      <c r="E4" s="388">
        <f t="shared" si="0"/>
        <v>4</v>
      </c>
      <c r="F4" s="388">
        <f t="shared" si="0"/>
        <v>5</v>
      </c>
      <c r="G4" s="388">
        <f t="shared" si="0"/>
        <v>6</v>
      </c>
      <c r="H4" s="388">
        <f t="shared" si="0"/>
        <v>7</v>
      </c>
      <c r="I4" s="388">
        <f t="shared" si="0"/>
        <v>8</v>
      </c>
      <c r="J4" s="388">
        <f t="shared" si="0"/>
        <v>9</v>
      </c>
      <c r="K4" s="389">
        <f t="shared" si="0"/>
        <v>10</v>
      </c>
      <c r="L4" s="389">
        <f t="shared" si="0"/>
        <v>11</v>
      </c>
      <c r="M4" s="390">
        <f t="shared" si="0"/>
        <v>12</v>
      </c>
      <c r="N4" s="390">
        <f t="shared" si="0"/>
        <v>13</v>
      </c>
      <c r="O4" s="391">
        <f t="shared" si="0"/>
        <v>14</v>
      </c>
      <c r="P4" s="391">
        <f t="shared" si="0"/>
        <v>15</v>
      </c>
      <c r="Q4" s="391">
        <f t="shared" si="0"/>
        <v>16</v>
      </c>
      <c r="R4" s="391">
        <f t="shared" si="0"/>
        <v>17</v>
      </c>
      <c r="S4" s="391">
        <f t="shared" si="0"/>
        <v>18</v>
      </c>
      <c r="T4" s="391">
        <f t="shared" si="0"/>
        <v>19</v>
      </c>
      <c r="U4" s="391">
        <f t="shared" si="0"/>
        <v>20</v>
      </c>
      <c r="V4" s="391">
        <f t="shared" si="0"/>
        <v>21</v>
      </c>
      <c r="W4" s="391">
        <f t="shared" si="0"/>
        <v>22</v>
      </c>
      <c r="X4" s="392">
        <f t="shared" si="0"/>
        <v>23</v>
      </c>
      <c r="Y4" s="392">
        <f t="shared" si="0"/>
        <v>24</v>
      </c>
      <c r="Z4" s="392">
        <f t="shared" si="0"/>
        <v>25</v>
      </c>
      <c r="AA4" s="392">
        <f t="shared" si="0"/>
        <v>26</v>
      </c>
      <c r="AB4" s="393">
        <f t="shared" si="0"/>
        <v>27</v>
      </c>
      <c r="AC4" s="393">
        <f t="shared" si="0"/>
        <v>28</v>
      </c>
      <c r="AD4" s="393">
        <f t="shared" si="0"/>
        <v>29</v>
      </c>
      <c r="AE4" s="393">
        <f t="shared" si="0"/>
        <v>30</v>
      </c>
      <c r="AF4" s="394">
        <f t="shared" si="0"/>
        <v>31</v>
      </c>
      <c r="AG4" s="395"/>
    </row>
    <row r="5" spans="1:33">
      <c r="A5" s="370"/>
      <c r="B5" s="396">
        <v>0</v>
      </c>
      <c r="C5" s="397">
        <v>0</v>
      </c>
      <c r="D5" s="398">
        <v>0</v>
      </c>
      <c r="E5" s="398">
        <v>0</v>
      </c>
      <c r="F5" s="398">
        <v>0</v>
      </c>
      <c r="G5" s="398">
        <v>0</v>
      </c>
      <c r="H5" s="398">
        <v>0</v>
      </c>
      <c r="I5" s="398">
        <v>0</v>
      </c>
      <c r="J5" s="398">
        <v>0</v>
      </c>
      <c r="K5" s="399">
        <v>0</v>
      </c>
      <c r="L5" s="399">
        <v>0</v>
      </c>
      <c r="M5" s="400">
        <v>0</v>
      </c>
      <c r="N5" s="401">
        <v>0</v>
      </c>
      <c r="O5" s="402">
        <v>0</v>
      </c>
      <c r="P5" s="402">
        <v>0</v>
      </c>
      <c r="Q5" s="402">
        <v>0</v>
      </c>
      <c r="R5" s="402">
        <v>0</v>
      </c>
      <c r="S5" s="402">
        <v>0</v>
      </c>
      <c r="T5" s="402">
        <v>0</v>
      </c>
      <c r="U5" s="402">
        <v>0</v>
      </c>
      <c r="V5" s="402">
        <v>0</v>
      </c>
      <c r="W5" s="402">
        <v>0</v>
      </c>
      <c r="X5" s="403">
        <v>0</v>
      </c>
      <c r="Y5" s="403">
        <v>0</v>
      </c>
      <c r="Z5" s="403">
        <v>0</v>
      </c>
      <c r="AA5" s="403">
        <v>0</v>
      </c>
      <c r="AB5" s="404">
        <v>-20905.355</v>
      </c>
      <c r="AC5" s="404">
        <v>-3699.1109999999999</v>
      </c>
      <c r="AD5" s="404">
        <v>-2955.9679999999998</v>
      </c>
      <c r="AE5" s="404">
        <v>-569.92499999999995</v>
      </c>
      <c r="AF5" s="405">
        <v>1</v>
      </c>
      <c r="AG5" s="395"/>
    </row>
    <row r="6" spans="1:33">
      <c r="A6" s="370"/>
      <c r="B6" s="406">
        <v>1</v>
      </c>
      <c r="C6" s="407">
        <v>3.0000000000000001E-3</v>
      </c>
      <c r="D6" s="407">
        <v>0</v>
      </c>
      <c r="E6" s="407">
        <v>-7.1000000000000004E-3</v>
      </c>
      <c r="F6" s="407">
        <v>2.9999999999999997E-4</v>
      </c>
      <c r="G6" s="407">
        <v>-1E-4</v>
      </c>
      <c r="H6" s="408">
        <v>-1E-4</v>
      </c>
      <c r="I6" s="409">
        <v>2.0000000000000001E-4</v>
      </c>
      <c r="J6" s="407">
        <v>0</v>
      </c>
      <c r="K6" s="410">
        <v>3.3399999999999999E-2</v>
      </c>
      <c r="L6" s="411">
        <v>2.9999999999999997E-4</v>
      </c>
      <c r="M6" s="412">
        <v>-1.67E-2</v>
      </c>
      <c r="N6" s="413">
        <v>-1.3999999999999999E-4</v>
      </c>
      <c r="O6" s="414">
        <v>0.10979999999999999</v>
      </c>
      <c r="P6" s="415">
        <v>2.2200000000000001E-2</v>
      </c>
      <c r="Q6" s="415">
        <v>1.15E-2</v>
      </c>
      <c r="R6" s="415">
        <v>3.7000000000000002E-3</v>
      </c>
      <c r="S6" s="415">
        <v>-3.2000000000000002E-3</v>
      </c>
      <c r="T6" s="415">
        <v>-2E-3</v>
      </c>
      <c r="U6" s="415">
        <v>1E-3</v>
      </c>
      <c r="V6" s="415">
        <v>1E-3</v>
      </c>
      <c r="W6" s="415">
        <v>8.9999999999999998E-4</v>
      </c>
      <c r="X6" s="416">
        <v>8.9499999999999996E-2</v>
      </c>
      <c r="Y6" s="417">
        <v>4.8999999999999998E-3</v>
      </c>
      <c r="Z6" s="418">
        <v>4.7999999999999996E-3</v>
      </c>
      <c r="AA6" s="418">
        <v>3.0000000000000001E-3</v>
      </c>
      <c r="AB6" s="419">
        <v>-20902.170999999998</v>
      </c>
      <c r="AC6" s="419">
        <v>-3698.5475999999999</v>
      </c>
      <c r="AD6" s="419">
        <v>-2955.5178000000001</v>
      </c>
      <c r="AE6" s="419">
        <v>-569.83820000000003</v>
      </c>
      <c r="AF6" s="420">
        <v>0.99990000000000001</v>
      </c>
      <c r="AG6" s="421"/>
    </row>
    <row r="7" spans="1:33">
      <c r="A7" s="370"/>
      <c r="B7" s="406">
        <f>B6+1</f>
        <v>2</v>
      </c>
      <c r="C7" s="407">
        <v>6.1000000000000004E-3</v>
      </c>
      <c r="D7" s="407">
        <v>1E-4</v>
      </c>
      <c r="E7" s="407">
        <v>-1.4200000000000001E-2</v>
      </c>
      <c r="F7" s="407">
        <v>5.9999999999999995E-4</v>
      </c>
      <c r="G7" s="407">
        <v>-2.0000000000000001E-4</v>
      </c>
      <c r="H7" s="407">
        <v>-2.9999999999999997E-4</v>
      </c>
      <c r="I7" s="409">
        <v>4.0000000000000002E-4</v>
      </c>
      <c r="J7" s="407">
        <v>0</v>
      </c>
      <c r="K7" s="410">
        <v>6.6799999999999998E-2</v>
      </c>
      <c r="L7" s="411">
        <v>6.9999999999999999E-4</v>
      </c>
      <c r="M7" s="412">
        <v>-1.669E-2</v>
      </c>
      <c r="N7" s="413">
        <v>-1.3999999999999999E-4</v>
      </c>
      <c r="O7" s="414">
        <v>0.2195</v>
      </c>
      <c r="P7" s="415">
        <v>4.4499999999999998E-2</v>
      </c>
      <c r="Q7" s="415">
        <v>2.3E-2</v>
      </c>
      <c r="R7" s="415">
        <v>7.4999999999999997E-3</v>
      </c>
      <c r="S7" s="415">
        <v>-6.4999999999999997E-3</v>
      </c>
      <c r="T7" s="415">
        <v>-4.0000000000000001E-3</v>
      </c>
      <c r="U7" s="415">
        <v>2.0999999999999999E-3</v>
      </c>
      <c r="V7" s="415">
        <v>2E-3</v>
      </c>
      <c r="W7" s="415">
        <v>1.9E-3</v>
      </c>
      <c r="X7" s="416">
        <v>0.17899999999999999</v>
      </c>
      <c r="Y7" s="417">
        <v>9.7999999999999997E-3</v>
      </c>
      <c r="Z7" s="418">
        <v>9.7000000000000003E-3</v>
      </c>
      <c r="AA7" s="418">
        <v>6.0000000000000001E-3</v>
      </c>
      <c r="AB7" s="419">
        <v>-20892.62</v>
      </c>
      <c r="AC7" s="419">
        <v>-3696.8575999999998</v>
      </c>
      <c r="AD7" s="419">
        <v>-2954.1673000000001</v>
      </c>
      <c r="AE7" s="419">
        <v>-569.57780000000002</v>
      </c>
      <c r="AF7" s="420">
        <v>0.99970000000000003</v>
      </c>
      <c r="AG7" s="421"/>
    </row>
    <row r="8" spans="1:33">
      <c r="A8" s="370"/>
      <c r="B8" s="406">
        <f t="shared" ref="B8:B71" si="1">B7+1</f>
        <v>3</v>
      </c>
      <c r="C8" s="407">
        <v>9.1000000000000004E-3</v>
      </c>
      <c r="D8" s="407">
        <v>1E-4</v>
      </c>
      <c r="E8" s="407">
        <v>-2.1299999999999999E-2</v>
      </c>
      <c r="F8" s="407">
        <v>8.0000000000000004E-4</v>
      </c>
      <c r="G8" s="407">
        <v>-2.9999999999999997E-4</v>
      </c>
      <c r="H8" s="407">
        <v>-4.0000000000000002E-4</v>
      </c>
      <c r="I8" s="409">
        <v>5.0000000000000001E-4</v>
      </c>
      <c r="J8" s="407">
        <v>1E-4</v>
      </c>
      <c r="K8" s="410">
        <v>0.1002</v>
      </c>
      <c r="L8" s="422">
        <v>1E-3</v>
      </c>
      <c r="M8" s="412">
        <v>-1.668E-2</v>
      </c>
      <c r="N8" s="413">
        <v>-1.3999999999999999E-4</v>
      </c>
      <c r="O8" s="414">
        <v>0.3291</v>
      </c>
      <c r="P8" s="415">
        <v>6.6699999999999995E-2</v>
      </c>
      <c r="Q8" s="415">
        <v>3.4500000000000003E-2</v>
      </c>
      <c r="R8" s="415">
        <v>1.12E-2</v>
      </c>
      <c r="S8" s="415">
        <v>-9.7000000000000003E-3</v>
      </c>
      <c r="T8" s="415">
        <v>-6.0000000000000001E-3</v>
      </c>
      <c r="U8" s="415">
        <v>3.0999999999999999E-3</v>
      </c>
      <c r="V8" s="415">
        <v>3.0000000000000001E-3</v>
      </c>
      <c r="W8" s="415">
        <v>2.8E-3</v>
      </c>
      <c r="X8" s="416">
        <v>0.26840000000000003</v>
      </c>
      <c r="Y8" s="418">
        <v>1.47E-2</v>
      </c>
      <c r="Z8" s="418">
        <v>1.4500000000000001E-2</v>
      </c>
      <c r="AA8" s="418">
        <v>9.1000000000000004E-3</v>
      </c>
      <c r="AB8" s="419">
        <v>-20876.704900000001</v>
      </c>
      <c r="AC8" s="419">
        <v>-3694.0414999999998</v>
      </c>
      <c r="AD8" s="419">
        <v>-2951.9169000000002</v>
      </c>
      <c r="AE8" s="419">
        <v>-569.14390000000003</v>
      </c>
      <c r="AF8" s="420">
        <v>0.99929999999999997</v>
      </c>
      <c r="AG8" s="421"/>
    </row>
    <row r="9" spans="1:33">
      <c r="A9" s="370"/>
      <c r="B9" s="406">
        <f t="shared" si="1"/>
        <v>4</v>
      </c>
      <c r="C9" s="407">
        <v>1.21E-2</v>
      </c>
      <c r="D9" s="407">
        <v>1E-4</v>
      </c>
      <c r="E9" s="407">
        <v>-2.8400000000000002E-2</v>
      </c>
      <c r="F9" s="407">
        <v>1.1000000000000001E-3</v>
      </c>
      <c r="G9" s="407">
        <v>-4.0000000000000002E-4</v>
      </c>
      <c r="H9" s="407">
        <v>-5.0000000000000001E-4</v>
      </c>
      <c r="I9" s="409">
        <v>6.9999999999999999E-4</v>
      </c>
      <c r="J9" s="407">
        <v>1E-4</v>
      </c>
      <c r="K9" s="410">
        <v>0.1336</v>
      </c>
      <c r="L9" s="422">
        <v>1.4E-3</v>
      </c>
      <c r="M9" s="412">
        <v>-1.6660000000000001E-2</v>
      </c>
      <c r="N9" s="413">
        <v>-1.3999999999999999E-4</v>
      </c>
      <c r="O9" s="414">
        <v>0.43869999999999998</v>
      </c>
      <c r="P9" s="415">
        <v>8.8900000000000007E-2</v>
      </c>
      <c r="Q9" s="415">
        <v>4.5900000000000003E-2</v>
      </c>
      <c r="R9" s="415">
        <v>1.49E-2</v>
      </c>
      <c r="S9" s="415">
        <v>-1.29E-2</v>
      </c>
      <c r="T9" s="415">
        <v>-8.0000000000000002E-3</v>
      </c>
      <c r="U9" s="415">
        <v>4.1000000000000003E-3</v>
      </c>
      <c r="V9" s="415">
        <v>4.0000000000000001E-3</v>
      </c>
      <c r="W9" s="415">
        <v>3.7000000000000002E-3</v>
      </c>
      <c r="X9" s="416">
        <v>0.35770000000000002</v>
      </c>
      <c r="Y9" s="418">
        <v>1.9599999999999999E-2</v>
      </c>
      <c r="Z9" s="418">
        <v>1.9400000000000001E-2</v>
      </c>
      <c r="AA9" s="418">
        <v>1.21E-2</v>
      </c>
      <c r="AB9" s="419">
        <v>-20854.4306</v>
      </c>
      <c r="AC9" s="419">
        <v>-3690.1001999999999</v>
      </c>
      <c r="AD9" s="419">
        <v>-2948.7674000000002</v>
      </c>
      <c r="AE9" s="419">
        <v>-568.5367</v>
      </c>
      <c r="AF9" s="420">
        <v>0.99880000000000002</v>
      </c>
      <c r="AG9" s="421"/>
    </row>
    <row r="10" spans="1:33">
      <c r="A10" s="370"/>
      <c r="B10" s="406">
        <f t="shared" si="1"/>
        <v>5</v>
      </c>
      <c r="C10" s="407">
        <v>1.5100000000000001E-2</v>
      </c>
      <c r="D10" s="407">
        <v>2.0000000000000001E-4</v>
      </c>
      <c r="E10" s="407">
        <v>-3.5499999999999997E-2</v>
      </c>
      <c r="F10" s="407">
        <v>1.4E-3</v>
      </c>
      <c r="G10" s="407">
        <v>-4.0000000000000002E-4</v>
      </c>
      <c r="H10" s="407">
        <v>-5.9999999999999995E-4</v>
      </c>
      <c r="I10" s="409">
        <v>8.9999999999999998E-4</v>
      </c>
      <c r="J10" s="407">
        <v>1E-4</v>
      </c>
      <c r="K10" s="410">
        <v>0.16689999999999999</v>
      </c>
      <c r="L10" s="422">
        <v>1.6999999999999999E-3</v>
      </c>
      <c r="M10" s="412">
        <v>-1.6639999999999999E-2</v>
      </c>
      <c r="N10" s="413">
        <v>-1.3999999999999999E-4</v>
      </c>
      <c r="O10" s="414">
        <v>0.54810000000000003</v>
      </c>
      <c r="P10" s="415">
        <v>0.111</v>
      </c>
      <c r="Q10" s="415">
        <v>5.74E-2</v>
      </c>
      <c r="R10" s="415">
        <v>1.8599999999999998E-2</v>
      </c>
      <c r="S10" s="415">
        <v>-1.61E-2</v>
      </c>
      <c r="T10" s="415">
        <v>-0.01</v>
      </c>
      <c r="U10" s="415">
        <v>5.1000000000000004E-3</v>
      </c>
      <c r="V10" s="415">
        <v>5.0000000000000001E-3</v>
      </c>
      <c r="W10" s="415">
        <v>4.5999999999999999E-3</v>
      </c>
      <c r="X10" s="416">
        <v>0.44700000000000001</v>
      </c>
      <c r="Y10" s="418">
        <v>2.4500000000000001E-2</v>
      </c>
      <c r="Z10" s="418">
        <v>2.4199999999999999E-2</v>
      </c>
      <c r="AA10" s="418">
        <v>1.5100000000000001E-2</v>
      </c>
      <c r="AB10" s="419">
        <v>-20825.803800000002</v>
      </c>
      <c r="AC10" s="419">
        <v>-3685.0347999999999</v>
      </c>
      <c r="AD10" s="419">
        <v>-2944.7195999999999</v>
      </c>
      <c r="AE10" s="419">
        <v>-567.75630000000001</v>
      </c>
      <c r="AF10" s="420">
        <v>0.99809999999999999</v>
      </c>
      <c r="AG10" s="421"/>
    </row>
    <row r="11" spans="1:33">
      <c r="A11" s="370"/>
      <c r="B11" s="406">
        <f t="shared" si="1"/>
        <v>6</v>
      </c>
      <c r="C11" s="407">
        <v>1.8100000000000002E-2</v>
      </c>
      <c r="D11" s="407">
        <v>2.0000000000000001E-4</v>
      </c>
      <c r="E11" s="407">
        <v>-4.2500000000000003E-2</v>
      </c>
      <c r="F11" s="407">
        <v>1.6999999999999999E-3</v>
      </c>
      <c r="G11" s="407">
        <v>-5.0000000000000001E-4</v>
      </c>
      <c r="H11" s="407">
        <v>-8.0000000000000004E-4</v>
      </c>
      <c r="I11" s="409">
        <v>1.1000000000000001E-3</v>
      </c>
      <c r="J11" s="407">
        <v>1E-4</v>
      </c>
      <c r="K11" s="410">
        <v>0.2001</v>
      </c>
      <c r="L11" s="422">
        <v>2.0999999999999999E-3</v>
      </c>
      <c r="M11" s="412">
        <v>-1.661E-2</v>
      </c>
      <c r="N11" s="413">
        <v>-1.3999999999999999E-4</v>
      </c>
      <c r="O11" s="414">
        <v>0.65739999999999998</v>
      </c>
      <c r="P11" s="415">
        <v>0.13320000000000001</v>
      </c>
      <c r="Q11" s="415">
        <v>6.88E-2</v>
      </c>
      <c r="R11" s="415">
        <v>2.23E-2</v>
      </c>
      <c r="S11" s="415">
        <v>-1.9300000000000001E-2</v>
      </c>
      <c r="T11" s="415">
        <v>-1.2E-2</v>
      </c>
      <c r="U11" s="415">
        <v>6.1000000000000004E-3</v>
      </c>
      <c r="V11" s="415">
        <v>6.0000000000000001E-3</v>
      </c>
      <c r="W11" s="415">
        <v>5.5999999999999999E-3</v>
      </c>
      <c r="X11" s="416">
        <v>0.53600000000000003</v>
      </c>
      <c r="Y11" s="418">
        <v>2.93E-2</v>
      </c>
      <c r="Z11" s="418">
        <v>2.9000000000000001E-2</v>
      </c>
      <c r="AA11" s="418">
        <v>1.8100000000000002E-2</v>
      </c>
      <c r="AB11" s="419">
        <v>-20790.833299999998</v>
      </c>
      <c r="AC11" s="419">
        <v>-3678.8469</v>
      </c>
      <c r="AD11" s="419">
        <v>-2939.7748999999999</v>
      </c>
      <c r="AE11" s="419">
        <v>-566.80290000000002</v>
      </c>
      <c r="AF11" s="420">
        <v>0.99729999999999996</v>
      </c>
      <c r="AG11" s="421"/>
    </row>
    <row r="12" spans="1:33">
      <c r="A12" s="370"/>
      <c r="B12" s="406">
        <f t="shared" si="1"/>
        <v>7</v>
      </c>
      <c r="C12" s="407">
        <v>2.1100000000000001E-2</v>
      </c>
      <c r="D12" s="407">
        <v>2.9999999999999997E-4</v>
      </c>
      <c r="E12" s="407">
        <v>-4.9599999999999998E-2</v>
      </c>
      <c r="F12" s="407">
        <v>2E-3</v>
      </c>
      <c r="G12" s="407">
        <v>-5.9999999999999995E-4</v>
      </c>
      <c r="H12" s="407">
        <v>-8.9999999999999998E-4</v>
      </c>
      <c r="I12" s="409">
        <v>1.2999999999999999E-3</v>
      </c>
      <c r="J12" s="407">
        <v>1E-4</v>
      </c>
      <c r="K12" s="410">
        <v>0.23330000000000001</v>
      </c>
      <c r="L12" s="422">
        <v>2.3999999999999998E-3</v>
      </c>
      <c r="M12" s="412">
        <v>-1.6580000000000001E-2</v>
      </c>
      <c r="N12" s="413">
        <v>-1.3999999999999999E-4</v>
      </c>
      <c r="O12" s="414">
        <v>0.76639999999999997</v>
      </c>
      <c r="P12" s="415">
        <v>0.15529999999999999</v>
      </c>
      <c r="Q12" s="415">
        <v>8.0199999999999994E-2</v>
      </c>
      <c r="R12" s="415">
        <v>2.5999999999999999E-2</v>
      </c>
      <c r="S12" s="415">
        <v>-2.2599999999999999E-2</v>
      </c>
      <c r="T12" s="415">
        <v>-1.3899999999999999E-2</v>
      </c>
      <c r="U12" s="415">
        <v>7.1999999999999998E-3</v>
      </c>
      <c r="V12" s="415">
        <v>7.0000000000000001E-3</v>
      </c>
      <c r="W12" s="415">
        <v>6.4999999999999997E-3</v>
      </c>
      <c r="X12" s="416">
        <v>0.625</v>
      </c>
      <c r="Y12" s="418">
        <v>3.4200000000000001E-2</v>
      </c>
      <c r="Z12" s="418">
        <v>3.3799999999999997E-2</v>
      </c>
      <c r="AA12" s="418">
        <v>2.1100000000000001E-2</v>
      </c>
      <c r="AB12" s="419">
        <v>-20749.529699999999</v>
      </c>
      <c r="AC12" s="419">
        <v>-3671.5383999999999</v>
      </c>
      <c r="AD12" s="419">
        <v>-2933.9346999999998</v>
      </c>
      <c r="AE12" s="419">
        <v>-565.67690000000005</v>
      </c>
      <c r="AF12" s="420">
        <v>0.99629999999999996</v>
      </c>
      <c r="AG12" s="421"/>
    </row>
    <row r="13" spans="1:33">
      <c r="A13" s="370"/>
      <c r="B13" s="406">
        <f t="shared" si="1"/>
        <v>8</v>
      </c>
      <c r="C13" s="407">
        <v>2.41E-2</v>
      </c>
      <c r="D13" s="407">
        <v>2.9999999999999997E-4</v>
      </c>
      <c r="E13" s="407">
        <v>-5.6599999999999998E-2</v>
      </c>
      <c r="F13" s="407">
        <v>2.2000000000000001E-3</v>
      </c>
      <c r="G13" s="407">
        <v>-6.9999999999999999E-4</v>
      </c>
      <c r="H13" s="407">
        <v>-1E-3</v>
      </c>
      <c r="I13" s="409">
        <v>1.4E-3</v>
      </c>
      <c r="J13" s="407">
        <v>1E-4</v>
      </c>
      <c r="K13" s="410">
        <v>0.26650000000000001</v>
      </c>
      <c r="L13" s="422">
        <v>2.8E-3</v>
      </c>
      <c r="M13" s="412">
        <v>-1.6539999999999999E-2</v>
      </c>
      <c r="N13" s="413">
        <v>-1.3999999999999999E-4</v>
      </c>
      <c r="O13" s="414">
        <v>0.87519999999999998</v>
      </c>
      <c r="P13" s="415">
        <v>0.17730000000000001</v>
      </c>
      <c r="Q13" s="415">
        <v>9.1600000000000001E-2</v>
      </c>
      <c r="R13" s="415">
        <v>2.9700000000000001E-2</v>
      </c>
      <c r="S13" s="415">
        <v>-2.58E-2</v>
      </c>
      <c r="T13" s="415">
        <v>-1.5900000000000001E-2</v>
      </c>
      <c r="U13" s="415">
        <v>8.2000000000000007E-3</v>
      </c>
      <c r="V13" s="415">
        <v>7.9000000000000008E-3</v>
      </c>
      <c r="W13" s="415">
        <v>7.4000000000000003E-3</v>
      </c>
      <c r="X13" s="416">
        <v>0.7137</v>
      </c>
      <c r="Y13" s="418">
        <v>3.9100000000000003E-2</v>
      </c>
      <c r="Z13" s="418">
        <v>3.8600000000000002E-2</v>
      </c>
      <c r="AA13" s="418">
        <v>2.41E-2</v>
      </c>
      <c r="AB13" s="419">
        <v>-20701.905500000001</v>
      </c>
      <c r="AC13" s="419">
        <v>-3663.1115</v>
      </c>
      <c r="AD13" s="419">
        <v>-2927.2006999999999</v>
      </c>
      <c r="AE13" s="419">
        <v>-564.37850000000003</v>
      </c>
      <c r="AF13" s="420">
        <v>0.99509999999999998</v>
      </c>
      <c r="AG13" s="421"/>
    </row>
    <row r="14" spans="1:33">
      <c r="A14" s="370"/>
      <c r="B14" s="406">
        <f t="shared" si="1"/>
        <v>9</v>
      </c>
      <c r="C14" s="407">
        <v>2.7099999999999999E-2</v>
      </c>
      <c r="D14" s="407">
        <v>2.9999999999999997E-4</v>
      </c>
      <c r="E14" s="407">
        <v>-6.3600000000000004E-2</v>
      </c>
      <c r="F14" s="407">
        <v>2.5000000000000001E-3</v>
      </c>
      <c r="G14" s="407">
        <v>-8.0000000000000004E-4</v>
      </c>
      <c r="H14" s="407">
        <v>-1.1999999999999999E-3</v>
      </c>
      <c r="I14" s="409">
        <v>1.6000000000000001E-3</v>
      </c>
      <c r="J14" s="407">
        <v>2.0000000000000001E-4</v>
      </c>
      <c r="K14" s="410">
        <v>0.29949999999999999</v>
      </c>
      <c r="L14" s="422">
        <v>3.0999999999999999E-3</v>
      </c>
      <c r="M14" s="412">
        <v>-1.6490000000000001E-2</v>
      </c>
      <c r="N14" s="413">
        <v>-1.3999999999999999E-4</v>
      </c>
      <c r="O14" s="414">
        <v>0.98380000000000001</v>
      </c>
      <c r="P14" s="415">
        <v>0.1993</v>
      </c>
      <c r="Q14" s="415">
        <v>0.10299999999999999</v>
      </c>
      <c r="R14" s="415">
        <v>3.3399999999999999E-2</v>
      </c>
      <c r="S14" s="415">
        <v>-2.9000000000000001E-2</v>
      </c>
      <c r="T14" s="415">
        <v>-1.7899999999999999E-2</v>
      </c>
      <c r="U14" s="415">
        <v>9.1999999999999998E-3</v>
      </c>
      <c r="V14" s="415">
        <v>8.8999999999999999E-3</v>
      </c>
      <c r="W14" s="415">
        <v>8.3000000000000001E-3</v>
      </c>
      <c r="X14" s="416">
        <v>0.80220000000000002</v>
      </c>
      <c r="Y14" s="418">
        <v>4.3900000000000002E-2</v>
      </c>
      <c r="Z14" s="418">
        <v>4.3400000000000001E-2</v>
      </c>
      <c r="AA14" s="418">
        <v>2.7099999999999999E-2</v>
      </c>
      <c r="AB14" s="419">
        <v>-20647.975399999999</v>
      </c>
      <c r="AC14" s="419">
        <v>-3653.5688</v>
      </c>
      <c r="AD14" s="419">
        <v>-2919.5751</v>
      </c>
      <c r="AE14" s="419">
        <v>-562.90830000000005</v>
      </c>
      <c r="AF14" s="420">
        <v>0.99380000000000002</v>
      </c>
      <c r="AG14" s="421"/>
    </row>
    <row r="15" spans="1:33">
      <c r="A15" s="370"/>
      <c r="B15" s="406">
        <f t="shared" si="1"/>
        <v>10</v>
      </c>
      <c r="C15" s="407">
        <v>3.0099999999999998E-2</v>
      </c>
      <c r="D15" s="407">
        <v>4.0000000000000002E-4</v>
      </c>
      <c r="E15" s="407">
        <v>-7.0599999999999996E-2</v>
      </c>
      <c r="F15" s="407">
        <v>2.8E-3</v>
      </c>
      <c r="G15" s="407">
        <v>-8.9999999999999998E-4</v>
      </c>
      <c r="H15" s="407">
        <v>-1.2999999999999999E-3</v>
      </c>
      <c r="I15" s="409">
        <v>1.8E-3</v>
      </c>
      <c r="J15" s="407">
        <v>2.0000000000000001E-4</v>
      </c>
      <c r="K15" s="410">
        <v>0.33250000000000002</v>
      </c>
      <c r="L15" s="422">
        <v>3.5000000000000001E-3</v>
      </c>
      <c r="M15" s="412">
        <v>-1.6449999999999999E-2</v>
      </c>
      <c r="N15" s="413">
        <v>-1.3999999999999999E-4</v>
      </c>
      <c r="O15" s="414">
        <v>1.0920000000000001</v>
      </c>
      <c r="P15" s="415">
        <v>0.22120000000000001</v>
      </c>
      <c r="Q15" s="415">
        <v>0.1143</v>
      </c>
      <c r="R15" s="415">
        <v>3.7100000000000001E-2</v>
      </c>
      <c r="S15" s="415">
        <v>-3.2099999999999997E-2</v>
      </c>
      <c r="T15" s="415">
        <v>-1.9900000000000001E-2</v>
      </c>
      <c r="U15" s="415">
        <v>1.0200000000000001E-2</v>
      </c>
      <c r="V15" s="415">
        <v>9.9000000000000008E-3</v>
      </c>
      <c r="W15" s="415">
        <v>9.2999999999999992E-3</v>
      </c>
      <c r="X15" s="416">
        <v>0.89049999999999996</v>
      </c>
      <c r="Y15" s="418">
        <v>4.87E-2</v>
      </c>
      <c r="Z15" s="418">
        <v>4.82E-2</v>
      </c>
      <c r="AA15" s="418">
        <v>3.0099999999999998E-2</v>
      </c>
      <c r="AB15" s="419">
        <v>-20587.755700000002</v>
      </c>
      <c r="AC15" s="419">
        <v>-3642.9132</v>
      </c>
      <c r="AD15" s="419">
        <v>-2911.0601999999999</v>
      </c>
      <c r="AE15" s="419">
        <v>-561.26660000000004</v>
      </c>
      <c r="AF15" s="420">
        <v>0.99239999999999995</v>
      </c>
      <c r="AG15" s="421"/>
    </row>
    <row r="16" spans="1:33">
      <c r="A16" s="370"/>
      <c r="B16" s="406">
        <f t="shared" si="1"/>
        <v>11</v>
      </c>
      <c r="C16" s="407">
        <v>3.3099999999999997E-2</v>
      </c>
      <c r="D16" s="407">
        <v>4.0000000000000002E-4</v>
      </c>
      <c r="E16" s="407">
        <v>-7.7600000000000002E-2</v>
      </c>
      <c r="F16" s="407">
        <v>3.0999999999999999E-3</v>
      </c>
      <c r="G16" s="407">
        <v>-1E-3</v>
      </c>
      <c r="H16" s="407">
        <v>-1.4E-3</v>
      </c>
      <c r="I16" s="409">
        <v>2E-3</v>
      </c>
      <c r="J16" s="407">
        <v>2.0000000000000001E-4</v>
      </c>
      <c r="K16" s="410">
        <v>0.36530000000000001</v>
      </c>
      <c r="L16" s="422">
        <v>3.8E-3</v>
      </c>
      <c r="M16" s="412">
        <v>-1.6389999999999998E-2</v>
      </c>
      <c r="N16" s="413">
        <v>-1.3999999999999999E-4</v>
      </c>
      <c r="O16" s="414">
        <v>1.2</v>
      </c>
      <c r="P16" s="415">
        <v>0.24310000000000001</v>
      </c>
      <c r="Q16" s="415">
        <v>0.12559999999999999</v>
      </c>
      <c r="R16" s="415">
        <v>4.0800000000000003E-2</v>
      </c>
      <c r="S16" s="415">
        <v>-3.5299999999999998E-2</v>
      </c>
      <c r="T16" s="415">
        <v>-2.18E-2</v>
      </c>
      <c r="U16" s="415">
        <v>1.12E-2</v>
      </c>
      <c r="V16" s="415">
        <v>1.09E-2</v>
      </c>
      <c r="W16" s="415">
        <v>1.0200000000000001E-2</v>
      </c>
      <c r="X16" s="416">
        <v>0.97850000000000004</v>
      </c>
      <c r="Y16" s="418">
        <v>5.3499999999999999E-2</v>
      </c>
      <c r="Z16" s="418">
        <v>5.2999999999999999E-2</v>
      </c>
      <c r="AA16" s="418">
        <v>3.3099999999999997E-2</v>
      </c>
      <c r="AB16" s="419">
        <v>-20521.2647</v>
      </c>
      <c r="AC16" s="419">
        <v>-3631.1478999999999</v>
      </c>
      <c r="AD16" s="419">
        <v>-2901.6585</v>
      </c>
      <c r="AE16" s="419">
        <v>-559.45389999999998</v>
      </c>
      <c r="AF16" s="420">
        <v>0.99080000000000001</v>
      </c>
      <c r="AG16" s="421"/>
    </row>
    <row r="17" spans="1:33">
      <c r="A17" s="370"/>
      <c r="B17" s="406">
        <f t="shared" si="1"/>
        <v>12</v>
      </c>
      <c r="C17" s="407">
        <v>3.61E-2</v>
      </c>
      <c r="D17" s="407">
        <v>4.0000000000000002E-4</v>
      </c>
      <c r="E17" s="407">
        <v>-8.4599999999999995E-2</v>
      </c>
      <c r="F17" s="407">
        <v>3.3E-3</v>
      </c>
      <c r="G17" s="407">
        <v>-1.1000000000000001E-3</v>
      </c>
      <c r="H17" s="407">
        <v>-1.5E-3</v>
      </c>
      <c r="I17" s="409">
        <v>2.2000000000000001E-3</v>
      </c>
      <c r="J17" s="407">
        <v>2.0000000000000001E-4</v>
      </c>
      <c r="K17" s="410">
        <v>0.39810000000000001</v>
      </c>
      <c r="L17" s="422">
        <v>4.1999999999999997E-3</v>
      </c>
      <c r="M17" s="412">
        <v>-1.634E-2</v>
      </c>
      <c r="N17" s="413">
        <v>-1.3999999999999999E-4</v>
      </c>
      <c r="O17" s="414">
        <v>1.3075000000000001</v>
      </c>
      <c r="P17" s="415">
        <v>0.26490000000000002</v>
      </c>
      <c r="Q17" s="415">
        <v>0.13689999999999999</v>
      </c>
      <c r="R17" s="415">
        <v>4.4400000000000002E-2</v>
      </c>
      <c r="S17" s="415">
        <v>-3.85E-2</v>
      </c>
      <c r="T17" s="415">
        <v>-2.3800000000000002E-2</v>
      </c>
      <c r="U17" s="415">
        <v>1.2200000000000001E-2</v>
      </c>
      <c r="V17" s="415">
        <v>1.1900000000000001E-2</v>
      </c>
      <c r="W17" s="415">
        <v>1.11E-2</v>
      </c>
      <c r="X17" s="416">
        <v>1.0662</v>
      </c>
      <c r="Y17" s="418">
        <v>5.8299999999999998E-2</v>
      </c>
      <c r="Z17" s="418">
        <v>5.7700000000000001E-2</v>
      </c>
      <c r="AA17" s="418">
        <v>3.5999999999999997E-2</v>
      </c>
      <c r="AB17" s="419">
        <v>-20448.522799999999</v>
      </c>
      <c r="AC17" s="419">
        <v>-3618.2764999999999</v>
      </c>
      <c r="AD17" s="419">
        <v>-2891.373</v>
      </c>
      <c r="AE17" s="419">
        <v>-557.47080000000005</v>
      </c>
      <c r="AF17" s="420">
        <v>0.98909999999999998</v>
      </c>
      <c r="AG17" s="421"/>
    </row>
    <row r="18" spans="1:33">
      <c r="A18" s="370"/>
      <c r="B18" s="406">
        <f t="shared" si="1"/>
        <v>13</v>
      </c>
      <c r="C18" s="407">
        <v>3.9E-2</v>
      </c>
      <c r="D18" s="407">
        <v>5.0000000000000001E-4</v>
      </c>
      <c r="E18" s="407">
        <v>-9.1499999999999998E-2</v>
      </c>
      <c r="F18" s="407">
        <v>3.5999999999999999E-3</v>
      </c>
      <c r="G18" s="407">
        <v>-1.1000000000000001E-3</v>
      </c>
      <c r="H18" s="407">
        <v>-1.6999999999999999E-3</v>
      </c>
      <c r="I18" s="409">
        <v>2.3E-3</v>
      </c>
      <c r="J18" s="407">
        <v>2.0000000000000001E-4</v>
      </c>
      <c r="K18" s="410">
        <v>0.43070000000000003</v>
      </c>
      <c r="L18" s="422">
        <v>4.4999999999999997E-3</v>
      </c>
      <c r="M18" s="412">
        <v>-1.627E-2</v>
      </c>
      <c r="N18" s="413">
        <v>-1.3999999999999999E-4</v>
      </c>
      <c r="O18" s="414">
        <v>1.4147000000000001</v>
      </c>
      <c r="P18" s="415">
        <v>0.28660000000000002</v>
      </c>
      <c r="Q18" s="415">
        <v>0.14810000000000001</v>
      </c>
      <c r="R18" s="415">
        <v>4.8099999999999997E-2</v>
      </c>
      <c r="S18" s="415">
        <v>-4.1599999999999998E-2</v>
      </c>
      <c r="T18" s="415">
        <v>-2.5700000000000001E-2</v>
      </c>
      <c r="U18" s="415">
        <v>1.32E-2</v>
      </c>
      <c r="V18" s="415">
        <v>1.2800000000000001E-2</v>
      </c>
      <c r="W18" s="415">
        <v>1.2E-2</v>
      </c>
      <c r="X18" s="416">
        <v>1.1536</v>
      </c>
      <c r="Y18" s="418">
        <v>6.3100000000000003E-2</v>
      </c>
      <c r="Z18" s="418">
        <v>6.25E-2</v>
      </c>
      <c r="AA18" s="418">
        <v>3.9E-2</v>
      </c>
      <c r="AB18" s="419">
        <v>-20369.552100000001</v>
      </c>
      <c r="AC18" s="419">
        <v>-3604.3029999999999</v>
      </c>
      <c r="AD18" s="419">
        <v>-2880.2067000000002</v>
      </c>
      <c r="AE18" s="419">
        <v>-555.31790000000001</v>
      </c>
      <c r="AF18" s="420">
        <v>0.98719999999999997</v>
      </c>
      <c r="AG18" s="421"/>
    </row>
    <row r="19" spans="1:33">
      <c r="A19" s="370"/>
      <c r="B19" s="406">
        <f t="shared" si="1"/>
        <v>14</v>
      </c>
      <c r="C19" s="407">
        <v>4.19E-2</v>
      </c>
      <c r="D19" s="407">
        <v>5.0000000000000001E-4</v>
      </c>
      <c r="E19" s="407">
        <v>-9.8400000000000001E-2</v>
      </c>
      <c r="F19" s="407">
        <v>3.8999999999999998E-3</v>
      </c>
      <c r="G19" s="407">
        <v>-1.1999999999999999E-3</v>
      </c>
      <c r="H19" s="407">
        <v>-1.8E-3</v>
      </c>
      <c r="I19" s="409">
        <v>2.5000000000000001E-3</v>
      </c>
      <c r="J19" s="407">
        <v>2.0000000000000001E-4</v>
      </c>
      <c r="K19" s="410">
        <v>0.4632</v>
      </c>
      <c r="L19" s="422">
        <v>4.7999999999999996E-3</v>
      </c>
      <c r="M19" s="412">
        <v>-1.6199999999999999E-2</v>
      </c>
      <c r="N19" s="413">
        <v>-1.3999999999999999E-4</v>
      </c>
      <c r="O19" s="414">
        <v>1.5214000000000001</v>
      </c>
      <c r="P19" s="415">
        <v>0.30819999999999997</v>
      </c>
      <c r="Q19" s="415">
        <v>0.1593</v>
      </c>
      <c r="R19" s="415">
        <v>5.1700000000000003E-2</v>
      </c>
      <c r="S19" s="415">
        <v>-4.48E-2</v>
      </c>
      <c r="T19" s="415">
        <v>-2.7699999999999999E-2</v>
      </c>
      <c r="U19" s="415">
        <v>1.4200000000000001E-2</v>
      </c>
      <c r="V19" s="415">
        <v>1.38E-2</v>
      </c>
      <c r="W19" s="415">
        <v>1.29E-2</v>
      </c>
      <c r="X19" s="416">
        <v>1.2405999999999999</v>
      </c>
      <c r="Y19" s="418">
        <v>6.7900000000000002E-2</v>
      </c>
      <c r="Z19" s="418">
        <v>6.7199999999999996E-2</v>
      </c>
      <c r="AA19" s="418">
        <v>4.19E-2</v>
      </c>
      <c r="AB19" s="419">
        <v>-20284.3766</v>
      </c>
      <c r="AC19" s="419">
        <v>-3589.2316000000001</v>
      </c>
      <c r="AD19" s="419">
        <v>-2868.1631000000002</v>
      </c>
      <c r="AE19" s="419">
        <v>-552.99580000000003</v>
      </c>
      <c r="AF19" s="420">
        <v>0.98509999999999998</v>
      </c>
      <c r="AG19" s="421"/>
    </row>
    <row r="20" spans="1:33">
      <c r="A20" s="370"/>
      <c r="B20" s="406">
        <f t="shared" si="1"/>
        <v>15</v>
      </c>
      <c r="C20" s="407">
        <v>4.4900000000000002E-2</v>
      </c>
      <c r="D20" s="407">
        <v>5.0000000000000001E-4</v>
      </c>
      <c r="E20" s="407">
        <v>-0.1053</v>
      </c>
      <c r="F20" s="407">
        <v>4.1999999999999997E-3</v>
      </c>
      <c r="G20" s="407">
        <v>-1.2999999999999999E-3</v>
      </c>
      <c r="H20" s="407">
        <v>-1.9E-3</v>
      </c>
      <c r="I20" s="409">
        <v>2.7000000000000001E-3</v>
      </c>
      <c r="J20" s="407">
        <v>2.9999999999999997E-4</v>
      </c>
      <c r="K20" s="410">
        <v>0.4955</v>
      </c>
      <c r="L20" s="422">
        <v>5.1999999999999998E-3</v>
      </c>
      <c r="M20" s="412">
        <v>-1.6129999999999999E-2</v>
      </c>
      <c r="N20" s="413">
        <v>-1.3999999999999999E-4</v>
      </c>
      <c r="O20" s="414">
        <v>1.6276999999999999</v>
      </c>
      <c r="P20" s="415">
        <v>0.32969999999999999</v>
      </c>
      <c r="Q20" s="415">
        <v>0.1704</v>
      </c>
      <c r="R20" s="415">
        <v>5.5300000000000002E-2</v>
      </c>
      <c r="S20" s="415">
        <v>-4.7899999999999998E-2</v>
      </c>
      <c r="T20" s="415">
        <v>-2.9600000000000001E-2</v>
      </c>
      <c r="U20" s="415">
        <v>1.52E-2</v>
      </c>
      <c r="V20" s="415">
        <v>1.4800000000000001E-2</v>
      </c>
      <c r="W20" s="415">
        <v>1.38E-2</v>
      </c>
      <c r="X20" s="416">
        <v>1.3272999999999999</v>
      </c>
      <c r="Y20" s="418">
        <v>7.2599999999999998E-2</v>
      </c>
      <c r="Z20" s="418">
        <v>7.1900000000000006E-2</v>
      </c>
      <c r="AA20" s="418">
        <v>4.48E-2</v>
      </c>
      <c r="AB20" s="419">
        <v>-20193.022300000001</v>
      </c>
      <c r="AC20" s="419">
        <v>-3573.0668000000001</v>
      </c>
      <c r="AD20" s="419">
        <v>-2855.2458000000001</v>
      </c>
      <c r="AE20" s="419">
        <v>-550.50530000000003</v>
      </c>
      <c r="AF20" s="420">
        <v>0.98299999999999998</v>
      </c>
      <c r="AG20" s="421"/>
    </row>
    <row r="21" spans="1:33">
      <c r="A21" s="370"/>
      <c r="B21" s="406">
        <f t="shared" si="1"/>
        <v>16</v>
      </c>
      <c r="C21" s="407">
        <v>4.7800000000000002E-2</v>
      </c>
      <c r="D21" s="407">
        <v>5.9999999999999995E-4</v>
      </c>
      <c r="E21" s="407">
        <v>-0.11210000000000001</v>
      </c>
      <c r="F21" s="407">
        <v>4.4000000000000003E-3</v>
      </c>
      <c r="G21" s="407">
        <v>-1.4E-3</v>
      </c>
      <c r="H21" s="407">
        <v>-2E-3</v>
      </c>
      <c r="I21" s="409">
        <v>2.8999999999999998E-3</v>
      </c>
      <c r="J21" s="407">
        <v>2.9999999999999997E-4</v>
      </c>
      <c r="K21" s="410">
        <v>0.52769999999999995</v>
      </c>
      <c r="L21" s="422">
        <v>5.4999999999999997E-3</v>
      </c>
      <c r="M21" s="412">
        <v>-1.6049999999999998E-2</v>
      </c>
      <c r="N21" s="413">
        <v>-1.2999999999999999E-4</v>
      </c>
      <c r="O21" s="414">
        <v>1.7334000000000001</v>
      </c>
      <c r="P21" s="415">
        <v>0.35120000000000001</v>
      </c>
      <c r="Q21" s="415">
        <v>0.18149999999999999</v>
      </c>
      <c r="R21" s="415">
        <v>5.8900000000000001E-2</v>
      </c>
      <c r="S21" s="415">
        <v>-5.0999999999999997E-2</v>
      </c>
      <c r="T21" s="415">
        <v>-3.15E-2</v>
      </c>
      <c r="U21" s="415">
        <v>1.6199999999999999E-2</v>
      </c>
      <c r="V21" s="415">
        <v>1.5699999999999999E-2</v>
      </c>
      <c r="W21" s="415">
        <v>1.47E-2</v>
      </c>
      <c r="X21" s="416">
        <v>1.4135</v>
      </c>
      <c r="Y21" s="418">
        <v>7.7299999999999994E-2</v>
      </c>
      <c r="Z21" s="418">
        <v>7.6499999999999999E-2</v>
      </c>
      <c r="AA21" s="418">
        <v>4.7800000000000002E-2</v>
      </c>
      <c r="AB21" s="419">
        <v>-20095.517</v>
      </c>
      <c r="AC21" s="419">
        <v>-3555.8137000000002</v>
      </c>
      <c r="AD21" s="419">
        <v>-2841.4587999999999</v>
      </c>
      <c r="AE21" s="419">
        <v>-547.84709999999995</v>
      </c>
      <c r="AF21" s="420">
        <v>0.98060000000000003</v>
      </c>
      <c r="AG21" s="421"/>
    </row>
    <row r="22" spans="1:33">
      <c r="A22" s="370"/>
      <c r="B22" s="406">
        <f t="shared" si="1"/>
        <v>17</v>
      </c>
      <c r="C22" s="407">
        <v>5.0700000000000002E-2</v>
      </c>
      <c r="D22" s="407">
        <v>5.9999999999999995E-4</v>
      </c>
      <c r="E22" s="407">
        <v>-0.11890000000000001</v>
      </c>
      <c r="F22" s="407">
        <v>4.7000000000000002E-3</v>
      </c>
      <c r="G22" s="407">
        <v>-1.5E-3</v>
      </c>
      <c r="H22" s="407">
        <v>-2.2000000000000001E-3</v>
      </c>
      <c r="I22" s="409">
        <v>3.0000000000000001E-3</v>
      </c>
      <c r="J22" s="407">
        <v>2.9999999999999997E-4</v>
      </c>
      <c r="K22" s="410">
        <v>0.55979999999999996</v>
      </c>
      <c r="L22" s="422">
        <v>5.7999999999999996E-3</v>
      </c>
      <c r="M22" s="412">
        <v>-1.5970000000000002E-2</v>
      </c>
      <c r="N22" s="413">
        <v>-1.2999999999999999E-4</v>
      </c>
      <c r="O22" s="414">
        <v>1.8387</v>
      </c>
      <c r="P22" s="415">
        <v>0.3725</v>
      </c>
      <c r="Q22" s="415">
        <v>0.1925</v>
      </c>
      <c r="R22" s="415">
        <v>6.25E-2</v>
      </c>
      <c r="S22" s="415">
        <v>-5.4100000000000002E-2</v>
      </c>
      <c r="T22" s="415">
        <v>-3.3399999999999999E-2</v>
      </c>
      <c r="U22" s="415">
        <v>1.72E-2</v>
      </c>
      <c r="V22" s="415">
        <v>1.67E-2</v>
      </c>
      <c r="W22" s="415">
        <v>1.5599999999999999E-2</v>
      </c>
      <c r="X22" s="416">
        <v>1.4993000000000001</v>
      </c>
      <c r="Y22" s="418">
        <v>8.2000000000000003E-2</v>
      </c>
      <c r="Z22" s="418">
        <v>8.1199999999999994E-2</v>
      </c>
      <c r="AA22" s="418">
        <v>5.0599999999999999E-2</v>
      </c>
      <c r="AB22" s="419">
        <v>-19991.8904</v>
      </c>
      <c r="AC22" s="419">
        <v>-3537.4774000000002</v>
      </c>
      <c r="AD22" s="419">
        <v>-2826.8063000000002</v>
      </c>
      <c r="AE22" s="419">
        <v>-545.02200000000005</v>
      </c>
      <c r="AF22" s="420">
        <v>0.97819999999999996</v>
      </c>
      <c r="AG22" s="421"/>
    </row>
    <row r="23" spans="1:33">
      <c r="A23" s="370"/>
      <c r="B23" s="406">
        <f t="shared" si="1"/>
        <v>18</v>
      </c>
      <c r="C23" s="407">
        <v>5.3600000000000002E-2</v>
      </c>
      <c r="D23" s="407">
        <v>5.9999999999999995E-4</v>
      </c>
      <c r="E23" s="407">
        <v>-0.12570000000000001</v>
      </c>
      <c r="F23" s="407">
        <v>5.0000000000000001E-3</v>
      </c>
      <c r="G23" s="407">
        <v>-1.6000000000000001E-3</v>
      </c>
      <c r="H23" s="407">
        <v>-2.3E-3</v>
      </c>
      <c r="I23" s="409">
        <v>3.2000000000000002E-3</v>
      </c>
      <c r="J23" s="407">
        <v>2.9999999999999997E-4</v>
      </c>
      <c r="K23" s="410">
        <v>0.59160000000000001</v>
      </c>
      <c r="L23" s="422">
        <v>6.1999999999999998E-3</v>
      </c>
      <c r="M23" s="412">
        <v>-1.5879999999999998E-2</v>
      </c>
      <c r="N23" s="413">
        <v>-1.2999999999999999E-4</v>
      </c>
      <c r="O23" s="414">
        <v>1.9433</v>
      </c>
      <c r="P23" s="415">
        <v>0.39369999999999999</v>
      </c>
      <c r="Q23" s="415">
        <v>0.2034</v>
      </c>
      <c r="R23" s="415">
        <v>6.6000000000000003E-2</v>
      </c>
      <c r="S23" s="415">
        <v>-5.7200000000000001E-2</v>
      </c>
      <c r="T23" s="415">
        <v>-3.5299999999999998E-2</v>
      </c>
      <c r="U23" s="415">
        <v>1.8200000000000001E-2</v>
      </c>
      <c r="V23" s="415">
        <v>1.7600000000000001E-2</v>
      </c>
      <c r="W23" s="415">
        <v>1.6500000000000001E-2</v>
      </c>
      <c r="X23" s="416">
        <v>1.5847</v>
      </c>
      <c r="Y23" s="418">
        <v>8.6699999999999999E-2</v>
      </c>
      <c r="Z23" s="418">
        <v>8.5800000000000001E-2</v>
      </c>
      <c r="AA23" s="418">
        <v>5.3499999999999999E-2</v>
      </c>
      <c r="AB23" s="419">
        <v>-19882.1741</v>
      </c>
      <c r="AC23" s="419">
        <v>-3518.0636</v>
      </c>
      <c r="AD23" s="419">
        <v>-2811.2926000000002</v>
      </c>
      <c r="AE23" s="419">
        <v>-542.03089999999997</v>
      </c>
      <c r="AF23" s="420">
        <v>0.97550000000000003</v>
      </c>
      <c r="AG23" s="421"/>
    </row>
    <row r="24" spans="1:33">
      <c r="A24" s="370"/>
      <c r="B24" s="406">
        <f t="shared" si="1"/>
        <v>19</v>
      </c>
      <c r="C24" s="407">
        <v>5.6500000000000002E-2</v>
      </c>
      <c r="D24" s="407">
        <v>6.9999999999999999E-4</v>
      </c>
      <c r="E24" s="407">
        <v>-0.13239999999999999</v>
      </c>
      <c r="F24" s="407">
        <v>5.1999999999999998E-3</v>
      </c>
      <c r="G24" s="407">
        <v>-1.6999999999999999E-3</v>
      </c>
      <c r="H24" s="407">
        <v>-2.3999999999999998E-3</v>
      </c>
      <c r="I24" s="409">
        <v>3.3999999999999998E-3</v>
      </c>
      <c r="J24" s="407">
        <v>2.9999999999999997E-4</v>
      </c>
      <c r="K24" s="410">
        <v>0.62329999999999997</v>
      </c>
      <c r="L24" s="422">
        <v>6.4999999999999997E-3</v>
      </c>
      <c r="M24" s="412">
        <v>-1.5789999999999998E-2</v>
      </c>
      <c r="N24" s="413">
        <v>-1.2999999999999999E-4</v>
      </c>
      <c r="O24" s="414">
        <v>2.0474000000000001</v>
      </c>
      <c r="P24" s="415">
        <v>0.4148</v>
      </c>
      <c r="Q24" s="415">
        <v>0.21429999999999999</v>
      </c>
      <c r="R24" s="415">
        <v>6.9500000000000006E-2</v>
      </c>
      <c r="S24" s="415">
        <v>-6.0299999999999999E-2</v>
      </c>
      <c r="T24" s="415">
        <v>-3.7199999999999997E-2</v>
      </c>
      <c r="U24" s="415">
        <v>1.9099999999999999E-2</v>
      </c>
      <c r="V24" s="415">
        <v>1.8599999999999998E-2</v>
      </c>
      <c r="W24" s="415">
        <v>1.7399999999999999E-2</v>
      </c>
      <c r="X24" s="416">
        <v>1.6696</v>
      </c>
      <c r="Y24" s="418">
        <v>9.1399999999999995E-2</v>
      </c>
      <c r="Z24" s="418">
        <v>9.0399999999999994E-2</v>
      </c>
      <c r="AA24" s="418">
        <v>5.6399999999999999E-2</v>
      </c>
      <c r="AB24" s="419">
        <v>-19766.4015</v>
      </c>
      <c r="AC24" s="419">
        <v>-3497.5781999999999</v>
      </c>
      <c r="AD24" s="419">
        <v>-2794.9227000000001</v>
      </c>
      <c r="AE24" s="419">
        <v>-538.87469999999996</v>
      </c>
      <c r="AF24" s="420">
        <v>0.9728</v>
      </c>
      <c r="AG24" s="421"/>
    </row>
    <row r="25" spans="1:33">
      <c r="A25" s="370"/>
      <c r="B25" s="406">
        <f t="shared" si="1"/>
        <v>20</v>
      </c>
      <c r="C25" s="407">
        <v>5.9299999999999999E-2</v>
      </c>
      <c r="D25" s="407">
        <v>6.9999999999999999E-4</v>
      </c>
      <c r="E25" s="407">
        <v>-0.1391</v>
      </c>
      <c r="F25" s="407">
        <v>5.4999999999999997E-3</v>
      </c>
      <c r="G25" s="407">
        <v>-1.6999999999999999E-3</v>
      </c>
      <c r="H25" s="407">
        <v>-2.5000000000000001E-3</v>
      </c>
      <c r="I25" s="409">
        <v>3.5999999999999999E-3</v>
      </c>
      <c r="J25" s="407">
        <v>2.9999999999999997E-4</v>
      </c>
      <c r="K25" s="410">
        <v>0.65480000000000005</v>
      </c>
      <c r="L25" s="422">
        <v>6.7999999999999996E-3</v>
      </c>
      <c r="M25" s="412">
        <v>-1.5689999999999999E-2</v>
      </c>
      <c r="N25" s="413">
        <v>-1.2999999999999999E-4</v>
      </c>
      <c r="O25" s="414">
        <v>2.1509</v>
      </c>
      <c r="P25" s="415">
        <v>0.43569999999999998</v>
      </c>
      <c r="Q25" s="415">
        <v>0.22520000000000001</v>
      </c>
      <c r="R25" s="415">
        <v>7.3099999999999998E-2</v>
      </c>
      <c r="S25" s="415">
        <v>-6.3299999999999995E-2</v>
      </c>
      <c r="T25" s="415">
        <v>-3.9100000000000003E-2</v>
      </c>
      <c r="U25" s="415">
        <v>2.01E-2</v>
      </c>
      <c r="V25" s="415">
        <v>1.95E-2</v>
      </c>
      <c r="W25" s="415">
        <v>1.8200000000000001E-2</v>
      </c>
      <c r="X25" s="416">
        <v>1.7539</v>
      </c>
      <c r="Y25" s="418">
        <v>9.6000000000000002E-2</v>
      </c>
      <c r="Z25" s="418">
        <v>9.5000000000000001E-2</v>
      </c>
      <c r="AA25" s="418">
        <v>5.9299999999999999E-2</v>
      </c>
      <c r="AB25" s="419">
        <v>-19644.607800000002</v>
      </c>
      <c r="AC25" s="419">
        <v>-3476.0273000000002</v>
      </c>
      <c r="AD25" s="419">
        <v>-2777.7013000000002</v>
      </c>
      <c r="AE25" s="419">
        <v>-535.55430000000001</v>
      </c>
      <c r="AF25" s="420">
        <v>0.9698</v>
      </c>
      <c r="AG25" s="421"/>
    </row>
    <row r="26" spans="1:33">
      <c r="A26" s="370"/>
      <c r="B26" s="406">
        <f t="shared" si="1"/>
        <v>21</v>
      </c>
      <c r="C26" s="407">
        <v>6.2100000000000002E-2</v>
      </c>
      <c r="D26" s="407">
        <v>8.0000000000000004E-4</v>
      </c>
      <c r="E26" s="407">
        <v>-0.14580000000000001</v>
      </c>
      <c r="F26" s="407">
        <v>5.7999999999999996E-3</v>
      </c>
      <c r="G26" s="407">
        <v>-1.8E-3</v>
      </c>
      <c r="H26" s="407">
        <v>-2.7000000000000001E-3</v>
      </c>
      <c r="I26" s="409">
        <v>3.7000000000000002E-3</v>
      </c>
      <c r="J26" s="407">
        <v>4.0000000000000002E-4</v>
      </c>
      <c r="K26" s="410">
        <v>0.68610000000000004</v>
      </c>
      <c r="L26" s="422">
        <v>7.1999999999999998E-3</v>
      </c>
      <c r="M26" s="412">
        <v>-1.559E-2</v>
      </c>
      <c r="N26" s="413">
        <v>-1.2999999999999999E-4</v>
      </c>
      <c r="O26" s="414">
        <v>2.2536999999999998</v>
      </c>
      <c r="P26" s="415">
        <v>0.45660000000000001</v>
      </c>
      <c r="Q26" s="415">
        <v>0.2359</v>
      </c>
      <c r="R26" s="415">
        <v>7.6600000000000001E-2</v>
      </c>
      <c r="S26" s="415">
        <v>-6.6299999999999998E-2</v>
      </c>
      <c r="T26" s="415">
        <v>-4.1000000000000002E-2</v>
      </c>
      <c r="U26" s="415">
        <v>2.1100000000000001E-2</v>
      </c>
      <c r="V26" s="415">
        <v>2.0500000000000001E-2</v>
      </c>
      <c r="W26" s="415">
        <v>1.9099999999999999E-2</v>
      </c>
      <c r="X26" s="416">
        <v>1.8378000000000001</v>
      </c>
      <c r="Y26" s="418">
        <v>0.10059999999999999</v>
      </c>
      <c r="Z26" s="418">
        <v>9.9500000000000005E-2</v>
      </c>
      <c r="AA26" s="418">
        <v>6.2100000000000002E-2</v>
      </c>
      <c r="AB26" s="419">
        <v>-19516.8302</v>
      </c>
      <c r="AC26" s="419">
        <v>-3453.4176000000002</v>
      </c>
      <c r="AD26" s="419">
        <v>-2759.6338999999998</v>
      </c>
      <c r="AE26" s="419">
        <v>-532.07079999999996</v>
      </c>
      <c r="AF26" s="420">
        <v>0.96679999999999999</v>
      </c>
      <c r="AG26" s="421"/>
    </row>
    <row r="27" spans="1:33">
      <c r="A27" s="370"/>
      <c r="B27" s="406">
        <f t="shared" si="1"/>
        <v>22</v>
      </c>
      <c r="C27" s="407">
        <v>6.5000000000000002E-2</v>
      </c>
      <c r="D27" s="407">
        <v>8.0000000000000004E-4</v>
      </c>
      <c r="E27" s="407">
        <v>-0.15240000000000001</v>
      </c>
      <c r="F27" s="407">
        <v>6.0000000000000001E-3</v>
      </c>
      <c r="G27" s="407">
        <v>-1.9E-3</v>
      </c>
      <c r="H27" s="407">
        <v>-2.8E-3</v>
      </c>
      <c r="I27" s="409">
        <v>3.8999999999999998E-3</v>
      </c>
      <c r="J27" s="407">
        <v>4.0000000000000002E-4</v>
      </c>
      <c r="K27" s="410">
        <v>0.71719999999999995</v>
      </c>
      <c r="L27" s="422">
        <v>7.4999999999999997E-3</v>
      </c>
      <c r="M27" s="412">
        <v>-1.5480000000000001E-2</v>
      </c>
      <c r="N27" s="413">
        <v>-1.2999999999999999E-4</v>
      </c>
      <c r="O27" s="414">
        <v>2.3557999999999999</v>
      </c>
      <c r="P27" s="415">
        <v>0.4773</v>
      </c>
      <c r="Q27" s="415">
        <v>0.24660000000000001</v>
      </c>
      <c r="R27" s="415">
        <v>0.08</v>
      </c>
      <c r="S27" s="415">
        <v>-6.93E-2</v>
      </c>
      <c r="T27" s="415">
        <v>-4.2799999999999998E-2</v>
      </c>
      <c r="U27" s="415">
        <v>2.1999999999999999E-2</v>
      </c>
      <c r="V27" s="415">
        <v>2.1399999999999999E-2</v>
      </c>
      <c r="W27" s="415">
        <v>0.02</v>
      </c>
      <c r="X27" s="416">
        <v>1.9211</v>
      </c>
      <c r="Y27" s="418">
        <v>0.1051</v>
      </c>
      <c r="Z27" s="418">
        <v>0.104</v>
      </c>
      <c r="AA27" s="418">
        <v>6.4899999999999999E-2</v>
      </c>
      <c r="AB27" s="419">
        <v>-19383.107599999999</v>
      </c>
      <c r="AC27" s="419">
        <v>-3429.7559999999999</v>
      </c>
      <c r="AD27" s="419">
        <v>-2740.7258000000002</v>
      </c>
      <c r="AE27" s="419">
        <v>-528.42529999999999</v>
      </c>
      <c r="AF27" s="420">
        <v>0.96360000000000001</v>
      </c>
      <c r="AG27" s="421"/>
    </row>
    <row r="28" spans="1:33">
      <c r="A28" s="370"/>
      <c r="B28" s="406">
        <f t="shared" si="1"/>
        <v>23</v>
      </c>
      <c r="C28" s="407">
        <v>6.7799999999999999E-2</v>
      </c>
      <c r="D28" s="407">
        <v>8.0000000000000004E-4</v>
      </c>
      <c r="E28" s="407">
        <v>-0.15890000000000001</v>
      </c>
      <c r="F28" s="407">
        <v>6.3E-3</v>
      </c>
      <c r="G28" s="407">
        <v>-2E-3</v>
      </c>
      <c r="H28" s="407">
        <v>-2.8999999999999998E-3</v>
      </c>
      <c r="I28" s="409">
        <v>4.1000000000000003E-3</v>
      </c>
      <c r="J28" s="407">
        <v>4.0000000000000002E-4</v>
      </c>
      <c r="K28" s="410">
        <v>0.74809999999999999</v>
      </c>
      <c r="L28" s="422">
        <v>7.7999999999999996E-3</v>
      </c>
      <c r="M28" s="412">
        <v>-1.537E-2</v>
      </c>
      <c r="N28" s="413">
        <v>-1.2999999999999999E-4</v>
      </c>
      <c r="O28" s="414">
        <v>2.4571999999999998</v>
      </c>
      <c r="P28" s="415">
        <v>0.49780000000000002</v>
      </c>
      <c r="Q28" s="415">
        <v>0.25719999999999998</v>
      </c>
      <c r="R28" s="415">
        <v>8.3500000000000005E-2</v>
      </c>
      <c r="S28" s="415">
        <v>-7.2300000000000003E-2</v>
      </c>
      <c r="T28" s="415">
        <v>-4.4699999999999997E-2</v>
      </c>
      <c r="U28" s="415">
        <v>2.3E-2</v>
      </c>
      <c r="V28" s="415">
        <v>2.23E-2</v>
      </c>
      <c r="W28" s="415">
        <v>2.0799999999999999E-2</v>
      </c>
      <c r="X28" s="416">
        <v>2.0036999999999998</v>
      </c>
      <c r="Y28" s="418">
        <v>0.1096</v>
      </c>
      <c r="Z28" s="418">
        <v>0.1085</v>
      </c>
      <c r="AA28" s="418">
        <v>6.7699999999999996E-2</v>
      </c>
      <c r="AB28" s="419">
        <v>-19243.4807</v>
      </c>
      <c r="AC28" s="419">
        <v>-3405.0495999999998</v>
      </c>
      <c r="AD28" s="419">
        <v>-2720.9829</v>
      </c>
      <c r="AE28" s="419">
        <v>-524.61869999999999</v>
      </c>
      <c r="AF28" s="420">
        <v>0.96030000000000004</v>
      </c>
      <c r="AG28" s="421"/>
    </row>
    <row r="29" spans="1:33">
      <c r="A29" s="370"/>
      <c r="B29" s="406">
        <f t="shared" si="1"/>
        <v>24</v>
      </c>
      <c r="C29" s="407">
        <v>7.0499999999999993E-2</v>
      </c>
      <c r="D29" s="407">
        <v>8.9999999999999998E-4</v>
      </c>
      <c r="E29" s="407">
        <v>-0.16550000000000001</v>
      </c>
      <c r="F29" s="407">
        <v>6.4999999999999997E-3</v>
      </c>
      <c r="G29" s="407">
        <v>-2.0999999999999999E-3</v>
      </c>
      <c r="H29" s="407">
        <v>-3.0000000000000001E-3</v>
      </c>
      <c r="I29" s="409">
        <v>4.1999999999999997E-3</v>
      </c>
      <c r="J29" s="407">
        <v>4.0000000000000002E-4</v>
      </c>
      <c r="K29" s="410">
        <v>0.77869999999999995</v>
      </c>
      <c r="L29" s="422">
        <v>8.0999999999999996E-3</v>
      </c>
      <c r="M29" s="412">
        <v>-1.5259999999999999E-2</v>
      </c>
      <c r="N29" s="413">
        <v>-1.2999999999999999E-4</v>
      </c>
      <c r="O29" s="414">
        <v>2.5579000000000001</v>
      </c>
      <c r="P29" s="415">
        <v>0.51819999999999999</v>
      </c>
      <c r="Q29" s="415">
        <v>0.26779999999999998</v>
      </c>
      <c r="R29" s="415">
        <v>8.6900000000000005E-2</v>
      </c>
      <c r="S29" s="415">
        <v>-7.5300000000000006E-2</v>
      </c>
      <c r="T29" s="415">
        <v>-4.65E-2</v>
      </c>
      <c r="U29" s="415">
        <v>2.3900000000000001E-2</v>
      </c>
      <c r="V29" s="415">
        <v>2.3199999999999998E-2</v>
      </c>
      <c r="W29" s="415">
        <v>2.1700000000000001E-2</v>
      </c>
      <c r="X29" s="416">
        <v>2.0857999999999999</v>
      </c>
      <c r="Y29" s="418">
        <v>0.11409999999999999</v>
      </c>
      <c r="Z29" s="418">
        <v>0.1129</v>
      </c>
      <c r="AA29" s="418">
        <v>7.0499999999999993E-2</v>
      </c>
      <c r="AB29" s="419">
        <v>-19097.992099999999</v>
      </c>
      <c r="AC29" s="419">
        <v>-3379.3060999999998</v>
      </c>
      <c r="AD29" s="419">
        <v>-2700.4110999999998</v>
      </c>
      <c r="AE29" s="419">
        <v>-520.65239999999994</v>
      </c>
      <c r="AF29" s="420">
        <v>0.95679999999999998</v>
      </c>
      <c r="AG29" s="421"/>
    </row>
    <row r="30" spans="1:33">
      <c r="A30" s="370"/>
      <c r="B30" s="406">
        <f t="shared" si="1"/>
        <v>25</v>
      </c>
      <c r="C30" s="407">
        <v>7.3300000000000004E-2</v>
      </c>
      <c r="D30" s="407">
        <v>8.9999999999999998E-4</v>
      </c>
      <c r="E30" s="407">
        <v>-0.1719</v>
      </c>
      <c r="F30" s="407">
        <v>6.7999999999999996E-3</v>
      </c>
      <c r="G30" s="407">
        <v>-2.2000000000000001E-3</v>
      </c>
      <c r="H30" s="407">
        <v>-3.0999999999999999E-3</v>
      </c>
      <c r="I30" s="409">
        <v>4.4000000000000003E-3</v>
      </c>
      <c r="J30" s="407">
        <v>4.0000000000000002E-4</v>
      </c>
      <c r="K30" s="410">
        <v>0.80910000000000004</v>
      </c>
      <c r="L30" s="422">
        <v>8.3999999999999995E-3</v>
      </c>
      <c r="M30" s="412">
        <v>-1.5140000000000001E-2</v>
      </c>
      <c r="N30" s="413">
        <v>-1.2999999999999999E-4</v>
      </c>
      <c r="O30" s="414">
        <v>2.6577999999999999</v>
      </c>
      <c r="P30" s="415">
        <v>0.53839999999999999</v>
      </c>
      <c r="Q30" s="415">
        <v>0.2782</v>
      </c>
      <c r="R30" s="415">
        <v>9.0300000000000005E-2</v>
      </c>
      <c r="S30" s="415">
        <v>-7.8200000000000006E-2</v>
      </c>
      <c r="T30" s="415">
        <v>-4.8300000000000003E-2</v>
      </c>
      <c r="U30" s="415">
        <v>2.4799999999999999E-2</v>
      </c>
      <c r="V30" s="415">
        <v>2.41E-2</v>
      </c>
      <c r="W30" s="415">
        <v>2.2499999999999999E-2</v>
      </c>
      <c r="X30" s="416">
        <v>2.1673</v>
      </c>
      <c r="Y30" s="418">
        <v>0.1186</v>
      </c>
      <c r="Z30" s="418">
        <v>0.1174</v>
      </c>
      <c r="AA30" s="418">
        <v>7.3200000000000001E-2</v>
      </c>
      <c r="AB30" s="419">
        <v>-18946.686000000002</v>
      </c>
      <c r="AC30" s="419">
        <v>-3352.5331000000001</v>
      </c>
      <c r="AD30" s="419">
        <v>-2679.0167999999999</v>
      </c>
      <c r="AE30" s="419">
        <v>-516.52750000000003</v>
      </c>
      <c r="AF30" s="420">
        <v>0.95320000000000005</v>
      </c>
      <c r="AG30" s="421"/>
    </row>
    <row r="31" spans="1:33">
      <c r="A31" s="370"/>
      <c r="B31" s="406">
        <f t="shared" si="1"/>
        <v>26</v>
      </c>
      <c r="C31" s="407">
        <v>7.5999999999999998E-2</v>
      </c>
      <c r="D31" s="407">
        <v>8.9999999999999998E-4</v>
      </c>
      <c r="E31" s="407">
        <v>-0.17829999999999999</v>
      </c>
      <c r="F31" s="407">
        <v>7.1000000000000004E-3</v>
      </c>
      <c r="G31" s="407">
        <v>-2.2000000000000001E-3</v>
      </c>
      <c r="H31" s="407">
        <v>-3.2000000000000002E-3</v>
      </c>
      <c r="I31" s="409">
        <v>4.5999999999999999E-3</v>
      </c>
      <c r="J31" s="407">
        <v>4.0000000000000002E-4</v>
      </c>
      <c r="K31" s="410">
        <v>0.83930000000000005</v>
      </c>
      <c r="L31" s="422">
        <v>8.8000000000000005E-3</v>
      </c>
      <c r="M31" s="412">
        <v>-1.5010000000000001E-2</v>
      </c>
      <c r="N31" s="413">
        <v>-1.2999999999999999E-4</v>
      </c>
      <c r="O31" s="414">
        <v>2.7568000000000001</v>
      </c>
      <c r="P31" s="415">
        <v>0.5585</v>
      </c>
      <c r="Q31" s="415">
        <v>0.28860000000000002</v>
      </c>
      <c r="R31" s="415">
        <v>9.3600000000000003E-2</v>
      </c>
      <c r="S31" s="415">
        <v>-8.1100000000000005E-2</v>
      </c>
      <c r="T31" s="415">
        <v>-5.0099999999999999E-2</v>
      </c>
      <c r="U31" s="415">
        <v>2.58E-2</v>
      </c>
      <c r="V31" s="415">
        <v>2.5000000000000001E-2</v>
      </c>
      <c r="W31" s="415">
        <v>2.3400000000000001E-2</v>
      </c>
      <c r="X31" s="416">
        <v>2.2481</v>
      </c>
      <c r="Y31" s="418">
        <v>0.123</v>
      </c>
      <c r="Z31" s="418">
        <v>0.1217</v>
      </c>
      <c r="AA31" s="418">
        <v>7.5899999999999995E-2</v>
      </c>
      <c r="AB31" s="419">
        <v>-18789.6086</v>
      </c>
      <c r="AC31" s="419">
        <v>-3324.7388999999998</v>
      </c>
      <c r="AD31" s="419">
        <v>-2656.8063999999999</v>
      </c>
      <c r="AE31" s="419">
        <v>-512.24519999999995</v>
      </c>
      <c r="AF31" s="420">
        <v>0.94940000000000002</v>
      </c>
      <c r="AG31" s="421"/>
    </row>
    <row r="32" spans="1:33">
      <c r="A32" s="370"/>
      <c r="B32" s="406">
        <f t="shared" si="1"/>
        <v>27</v>
      </c>
      <c r="C32" s="407">
        <v>7.8700000000000006E-2</v>
      </c>
      <c r="D32" s="407">
        <v>1E-3</v>
      </c>
      <c r="E32" s="407">
        <v>-0.1847</v>
      </c>
      <c r="F32" s="407">
        <v>7.3000000000000001E-3</v>
      </c>
      <c r="G32" s="407">
        <v>-2.3E-3</v>
      </c>
      <c r="H32" s="407">
        <v>-3.3999999999999998E-3</v>
      </c>
      <c r="I32" s="409">
        <v>4.7000000000000002E-3</v>
      </c>
      <c r="J32" s="407">
        <v>5.0000000000000001E-4</v>
      </c>
      <c r="K32" s="410">
        <v>0.86919999999999997</v>
      </c>
      <c r="L32" s="422">
        <v>9.1000000000000004E-3</v>
      </c>
      <c r="M32" s="412">
        <v>-1.4880000000000001E-2</v>
      </c>
      <c r="N32" s="413">
        <v>-1.2E-4</v>
      </c>
      <c r="O32" s="414">
        <v>2.855</v>
      </c>
      <c r="P32" s="415">
        <v>0.57840000000000003</v>
      </c>
      <c r="Q32" s="415">
        <v>0.2989</v>
      </c>
      <c r="R32" s="415">
        <v>9.7000000000000003E-2</v>
      </c>
      <c r="S32" s="415">
        <v>-8.4000000000000005E-2</v>
      </c>
      <c r="T32" s="415">
        <v>-5.1900000000000002E-2</v>
      </c>
      <c r="U32" s="415">
        <v>2.6700000000000002E-2</v>
      </c>
      <c r="V32" s="415">
        <v>2.5899999999999999E-2</v>
      </c>
      <c r="W32" s="415">
        <v>2.4199999999999999E-2</v>
      </c>
      <c r="X32" s="416">
        <v>2.3281000000000001</v>
      </c>
      <c r="Y32" s="418">
        <v>0.12740000000000001</v>
      </c>
      <c r="Z32" s="418">
        <v>0.12609999999999999</v>
      </c>
      <c r="AA32" s="418">
        <v>7.8600000000000003E-2</v>
      </c>
      <c r="AB32" s="419">
        <v>-18626.807700000001</v>
      </c>
      <c r="AC32" s="419">
        <v>-3295.9319999999998</v>
      </c>
      <c r="AD32" s="419">
        <v>-2633.7867999999999</v>
      </c>
      <c r="AE32" s="419">
        <v>-507.80689999999998</v>
      </c>
      <c r="AF32" s="420">
        <v>0.94550000000000001</v>
      </c>
      <c r="AG32" s="421"/>
    </row>
    <row r="33" spans="1:33">
      <c r="A33" s="370"/>
      <c r="B33" s="406">
        <f t="shared" si="1"/>
        <v>28</v>
      </c>
      <c r="C33" s="407">
        <v>8.14E-2</v>
      </c>
      <c r="D33" s="407">
        <v>1E-3</v>
      </c>
      <c r="E33" s="407">
        <v>-0.191</v>
      </c>
      <c r="F33" s="407">
        <v>7.6E-3</v>
      </c>
      <c r="G33" s="407">
        <v>-2.3999999999999998E-3</v>
      </c>
      <c r="H33" s="407">
        <v>-3.5000000000000001E-3</v>
      </c>
      <c r="I33" s="409">
        <v>4.8999999999999998E-3</v>
      </c>
      <c r="J33" s="407">
        <v>5.0000000000000001E-4</v>
      </c>
      <c r="K33" s="410">
        <v>0.89890000000000003</v>
      </c>
      <c r="L33" s="422">
        <v>9.4000000000000004E-3</v>
      </c>
      <c r="M33" s="412">
        <v>-1.4749999999999999E-2</v>
      </c>
      <c r="N33" s="413">
        <v>-1.2E-4</v>
      </c>
      <c r="O33" s="414">
        <v>2.9523999999999999</v>
      </c>
      <c r="P33" s="415">
        <v>0.59809999999999997</v>
      </c>
      <c r="Q33" s="415">
        <v>0.30909999999999999</v>
      </c>
      <c r="R33" s="415">
        <v>0.1003</v>
      </c>
      <c r="S33" s="415">
        <v>-8.6900000000000005E-2</v>
      </c>
      <c r="T33" s="415">
        <v>-5.3699999999999998E-2</v>
      </c>
      <c r="U33" s="415">
        <v>2.76E-2</v>
      </c>
      <c r="V33" s="415">
        <v>2.6800000000000001E-2</v>
      </c>
      <c r="W33" s="415">
        <v>2.5000000000000001E-2</v>
      </c>
      <c r="X33" s="416">
        <v>2.4075000000000002</v>
      </c>
      <c r="Y33" s="418">
        <v>0.13170000000000001</v>
      </c>
      <c r="Z33" s="418">
        <v>0.13039999999999999</v>
      </c>
      <c r="AA33" s="418">
        <v>8.1299999999999997E-2</v>
      </c>
      <c r="AB33" s="419">
        <v>-18458.332900000001</v>
      </c>
      <c r="AC33" s="419">
        <v>-3266.1212</v>
      </c>
      <c r="AD33" s="419">
        <v>-2609.9648000000002</v>
      </c>
      <c r="AE33" s="419">
        <v>-503.21390000000002</v>
      </c>
      <c r="AF33" s="420">
        <v>0.9415</v>
      </c>
      <c r="AG33" s="421"/>
    </row>
    <row r="34" spans="1:33">
      <c r="A34" s="370"/>
      <c r="B34" s="406">
        <f t="shared" si="1"/>
        <v>29</v>
      </c>
      <c r="C34" s="407">
        <v>8.4099999999999994E-2</v>
      </c>
      <c r="D34" s="407">
        <v>1E-3</v>
      </c>
      <c r="E34" s="407">
        <v>-0.19719999999999999</v>
      </c>
      <c r="F34" s="407">
        <v>7.7999999999999996E-3</v>
      </c>
      <c r="G34" s="407">
        <v>-2.5000000000000001E-3</v>
      </c>
      <c r="H34" s="407">
        <v>-3.5999999999999999E-3</v>
      </c>
      <c r="I34" s="409">
        <v>5.0000000000000001E-3</v>
      </c>
      <c r="J34" s="407">
        <v>5.0000000000000001E-4</v>
      </c>
      <c r="K34" s="410">
        <v>0.92820000000000003</v>
      </c>
      <c r="L34" s="422">
        <v>9.7000000000000003E-3</v>
      </c>
      <c r="M34" s="412">
        <v>-1.461E-2</v>
      </c>
      <c r="N34" s="413">
        <v>-1.2E-4</v>
      </c>
      <c r="O34" s="414">
        <v>3.0489000000000002</v>
      </c>
      <c r="P34" s="415">
        <v>0.61770000000000003</v>
      </c>
      <c r="Q34" s="415">
        <v>0.31919999999999998</v>
      </c>
      <c r="R34" s="415">
        <v>0.1036</v>
      </c>
      <c r="S34" s="415">
        <v>-8.9700000000000002E-2</v>
      </c>
      <c r="T34" s="415">
        <v>-5.5399999999999998E-2</v>
      </c>
      <c r="U34" s="415">
        <v>2.8500000000000001E-2</v>
      </c>
      <c r="V34" s="415">
        <v>2.7699999999999999E-2</v>
      </c>
      <c r="W34" s="415">
        <v>2.5899999999999999E-2</v>
      </c>
      <c r="X34" s="416">
        <v>2.4862000000000002</v>
      </c>
      <c r="Y34" s="418">
        <v>0.13600000000000001</v>
      </c>
      <c r="Z34" s="418">
        <v>0.1346</v>
      </c>
      <c r="AA34" s="418">
        <v>8.4000000000000005E-2</v>
      </c>
      <c r="AB34" s="419">
        <v>-18284.235499999999</v>
      </c>
      <c r="AC34" s="419">
        <v>-3235.3154</v>
      </c>
      <c r="AD34" s="419">
        <v>-2585.3479000000002</v>
      </c>
      <c r="AE34" s="419">
        <v>-498.4676</v>
      </c>
      <c r="AF34" s="420">
        <v>0.93730000000000002</v>
      </c>
      <c r="AG34" s="421"/>
    </row>
    <row r="35" spans="1:33">
      <c r="A35" s="370"/>
      <c r="B35" s="406">
        <f t="shared" si="1"/>
        <v>30</v>
      </c>
      <c r="C35" s="407">
        <v>8.6699999999999999E-2</v>
      </c>
      <c r="D35" s="407">
        <v>1.1000000000000001E-3</v>
      </c>
      <c r="E35" s="407">
        <v>-0.2034</v>
      </c>
      <c r="F35" s="407">
        <v>8.0999999999999996E-3</v>
      </c>
      <c r="G35" s="407">
        <v>-2.5999999999999999E-3</v>
      </c>
      <c r="H35" s="407">
        <v>-3.7000000000000002E-3</v>
      </c>
      <c r="I35" s="409">
        <v>5.1999999999999998E-3</v>
      </c>
      <c r="J35" s="407">
        <v>5.0000000000000001E-4</v>
      </c>
      <c r="K35" s="410">
        <v>0.95730000000000004</v>
      </c>
      <c r="L35" s="422">
        <v>0.01</v>
      </c>
      <c r="M35" s="412">
        <v>-1.4460000000000001E-2</v>
      </c>
      <c r="N35" s="413">
        <v>-1.2E-4</v>
      </c>
      <c r="O35" s="414">
        <v>3.1444000000000001</v>
      </c>
      <c r="P35" s="415">
        <v>0.63700000000000001</v>
      </c>
      <c r="Q35" s="415">
        <v>0.32919999999999999</v>
      </c>
      <c r="R35" s="415">
        <v>0.10680000000000001</v>
      </c>
      <c r="S35" s="415">
        <v>-9.2600000000000002E-2</v>
      </c>
      <c r="T35" s="415">
        <v>-5.7200000000000001E-2</v>
      </c>
      <c r="U35" s="415">
        <v>2.9399999999999999E-2</v>
      </c>
      <c r="V35" s="415">
        <v>2.8500000000000001E-2</v>
      </c>
      <c r="W35" s="415">
        <v>2.6700000000000002E-2</v>
      </c>
      <c r="X35" s="416">
        <v>2.5640999999999998</v>
      </c>
      <c r="Y35" s="418">
        <v>0.14030000000000001</v>
      </c>
      <c r="Z35" s="418">
        <v>0.13880000000000001</v>
      </c>
      <c r="AA35" s="418">
        <v>8.6599999999999996E-2</v>
      </c>
      <c r="AB35" s="419">
        <v>-18104.568500000001</v>
      </c>
      <c r="AC35" s="419">
        <v>-3203.5241000000001</v>
      </c>
      <c r="AD35" s="419">
        <v>-2559.9434000000001</v>
      </c>
      <c r="AE35" s="419">
        <v>-493.56950000000001</v>
      </c>
      <c r="AF35" s="420">
        <v>0.93300000000000005</v>
      </c>
      <c r="AG35" s="421"/>
    </row>
    <row r="36" spans="1:33">
      <c r="A36" s="370"/>
      <c r="B36" s="406">
        <f t="shared" si="1"/>
        <v>31</v>
      </c>
      <c r="C36" s="407">
        <v>8.9300000000000004E-2</v>
      </c>
      <c r="D36" s="407">
        <v>1.1000000000000001E-3</v>
      </c>
      <c r="E36" s="407">
        <v>-0.20949999999999999</v>
      </c>
      <c r="F36" s="407">
        <v>8.3000000000000001E-3</v>
      </c>
      <c r="G36" s="407">
        <v>-2.5999999999999999E-3</v>
      </c>
      <c r="H36" s="408">
        <v>-3.8E-3</v>
      </c>
      <c r="I36" s="409">
        <v>5.4000000000000003E-3</v>
      </c>
      <c r="J36" s="407">
        <v>5.0000000000000001E-4</v>
      </c>
      <c r="K36" s="410">
        <v>0.98609999999999998</v>
      </c>
      <c r="L36" s="411">
        <v>1.03E-2</v>
      </c>
      <c r="M36" s="412">
        <v>-1.431E-2</v>
      </c>
      <c r="N36" s="423">
        <v>-1.2E-4</v>
      </c>
      <c r="O36" s="414">
        <v>3.2389999999999999</v>
      </c>
      <c r="P36" s="415">
        <v>0.65620000000000001</v>
      </c>
      <c r="Q36" s="424">
        <v>0.33910000000000001</v>
      </c>
      <c r="R36" s="415">
        <v>0.11</v>
      </c>
      <c r="S36" s="415">
        <v>-9.5299999999999996E-2</v>
      </c>
      <c r="T36" s="415">
        <v>-5.8900000000000001E-2</v>
      </c>
      <c r="U36" s="415">
        <v>3.0300000000000001E-2</v>
      </c>
      <c r="V36" s="415">
        <v>2.9399999999999999E-2</v>
      </c>
      <c r="W36" s="415">
        <v>2.75E-2</v>
      </c>
      <c r="X36" s="416">
        <v>2.6412</v>
      </c>
      <c r="Y36" s="417">
        <v>0.14449999999999999</v>
      </c>
      <c r="Z36" s="418">
        <v>0.14299999999999999</v>
      </c>
      <c r="AA36" s="418">
        <v>8.9200000000000002E-2</v>
      </c>
      <c r="AB36" s="419">
        <v>-17919.386699999999</v>
      </c>
      <c r="AC36" s="419">
        <v>-3170.7570000000001</v>
      </c>
      <c r="AD36" s="419">
        <v>-2533.7591000000002</v>
      </c>
      <c r="AE36" s="419">
        <v>-488.52109999999999</v>
      </c>
      <c r="AF36" s="420">
        <v>0.92859999999999998</v>
      </c>
      <c r="AG36" s="421"/>
    </row>
    <row r="37" spans="1:33">
      <c r="A37" s="370"/>
      <c r="B37" s="406">
        <f t="shared" si="1"/>
        <v>32</v>
      </c>
      <c r="C37" s="407">
        <v>9.1899999999999996E-2</v>
      </c>
      <c r="D37" s="407">
        <v>1.1000000000000001E-3</v>
      </c>
      <c r="E37" s="407">
        <v>-0.21560000000000001</v>
      </c>
      <c r="F37" s="407">
        <v>8.5000000000000006E-3</v>
      </c>
      <c r="G37" s="407">
        <v>-2.7000000000000001E-3</v>
      </c>
      <c r="H37" s="407">
        <v>-3.8999999999999998E-3</v>
      </c>
      <c r="I37" s="409">
        <v>5.4999999999999997E-3</v>
      </c>
      <c r="J37" s="407">
        <v>5.0000000000000001E-4</v>
      </c>
      <c r="K37" s="410">
        <v>1.0145999999999999</v>
      </c>
      <c r="L37" s="411">
        <v>1.06E-2</v>
      </c>
      <c r="M37" s="412">
        <v>-1.4160000000000001E-2</v>
      </c>
      <c r="N37" s="423">
        <v>-1.2E-4</v>
      </c>
      <c r="O37" s="414">
        <v>3.3325</v>
      </c>
      <c r="P37" s="415">
        <v>0.67510000000000003</v>
      </c>
      <c r="Q37" s="415">
        <v>0.34889999999999999</v>
      </c>
      <c r="R37" s="415">
        <v>0.1132</v>
      </c>
      <c r="S37" s="415">
        <v>-9.8100000000000007E-2</v>
      </c>
      <c r="T37" s="415">
        <v>-6.0600000000000001E-2</v>
      </c>
      <c r="U37" s="415">
        <v>3.1199999999999999E-2</v>
      </c>
      <c r="V37" s="415">
        <v>3.0200000000000001E-2</v>
      </c>
      <c r="W37" s="415">
        <v>2.8299999999999999E-2</v>
      </c>
      <c r="X37" s="416">
        <v>2.7174999999999998</v>
      </c>
      <c r="Y37" s="417">
        <v>0.1487</v>
      </c>
      <c r="Z37" s="418">
        <v>0.1472</v>
      </c>
      <c r="AA37" s="418">
        <v>9.1800000000000007E-2</v>
      </c>
      <c r="AB37" s="419">
        <v>-17728.746500000001</v>
      </c>
      <c r="AC37" s="419">
        <v>-3137.0239999999999</v>
      </c>
      <c r="AD37" s="419">
        <v>-2506.8029999999999</v>
      </c>
      <c r="AE37" s="419">
        <v>-483.32380000000001</v>
      </c>
      <c r="AF37" s="420">
        <v>0.92400000000000004</v>
      </c>
      <c r="AG37" s="395"/>
    </row>
    <row r="38" spans="1:33">
      <c r="A38" s="370"/>
      <c r="B38" s="406">
        <f t="shared" si="1"/>
        <v>33</v>
      </c>
      <c r="C38" s="407">
        <v>9.4399999999999998E-2</v>
      </c>
      <c r="D38" s="407">
        <v>1.1000000000000001E-3</v>
      </c>
      <c r="E38" s="407">
        <v>-0.22159999999999999</v>
      </c>
      <c r="F38" s="407">
        <v>8.8000000000000005E-3</v>
      </c>
      <c r="G38" s="407">
        <v>-2.8E-3</v>
      </c>
      <c r="H38" s="407">
        <v>-4.0000000000000001E-3</v>
      </c>
      <c r="I38" s="409">
        <v>5.7000000000000002E-3</v>
      </c>
      <c r="J38" s="407">
        <v>5.0000000000000001E-4</v>
      </c>
      <c r="K38" s="410">
        <v>1.0427999999999999</v>
      </c>
      <c r="L38" s="422">
        <v>1.09E-2</v>
      </c>
      <c r="M38" s="412">
        <v>-1.401E-2</v>
      </c>
      <c r="N38" s="413">
        <v>-1.2E-4</v>
      </c>
      <c r="O38" s="414">
        <v>3.4251</v>
      </c>
      <c r="P38" s="415">
        <v>0.69389999999999996</v>
      </c>
      <c r="Q38" s="415">
        <v>0.35849999999999999</v>
      </c>
      <c r="R38" s="415">
        <v>0.1163</v>
      </c>
      <c r="S38" s="415">
        <v>-0.1008</v>
      </c>
      <c r="T38" s="415">
        <v>-6.2300000000000001E-2</v>
      </c>
      <c r="U38" s="415">
        <v>3.2000000000000001E-2</v>
      </c>
      <c r="V38" s="415">
        <v>3.1099999999999999E-2</v>
      </c>
      <c r="W38" s="415">
        <v>2.9000000000000001E-2</v>
      </c>
      <c r="X38" s="416">
        <v>2.7930000000000001</v>
      </c>
      <c r="Y38" s="418">
        <v>0.15279999999999999</v>
      </c>
      <c r="Z38" s="418">
        <v>0.1512</v>
      </c>
      <c r="AA38" s="418">
        <v>9.4399999999999998E-2</v>
      </c>
      <c r="AB38" s="419">
        <v>-17532.705999999998</v>
      </c>
      <c r="AC38" s="419">
        <v>-3102.3355000000001</v>
      </c>
      <c r="AD38" s="419">
        <v>-2479.0834</v>
      </c>
      <c r="AE38" s="419">
        <v>-477.97930000000002</v>
      </c>
      <c r="AF38" s="420">
        <v>0.91930000000000001</v>
      </c>
      <c r="AG38" s="386"/>
    </row>
    <row r="39" spans="1:33">
      <c r="A39" s="370"/>
      <c r="B39" s="406">
        <f t="shared" si="1"/>
        <v>34</v>
      </c>
      <c r="C39" s="407">
        <v>9.7000000000000003E-2</v>
      </c>
      <c r="D39" s="407">
        <v>1.1999999999999999E-3</v>
      </c>
      <c r="E39" s="407">
        <v>-0.22750000000000001</v>
      </c>
      <c r="F39" s="407">
        <v>8.9999999999999993E-3</v>
      </c>
      <c r="G39" s="407">
        <v>-2.8999999999999998E-3</v>
      </c>
      <c r="H39" s="407">
        <v>-4.1000000000000003E-3</v>
      </c>
      <c r="I39" s="409">
        <v>5.7999999999999996E-3</v>
      </c>
      <c r="J39" s="407">
        <v>5.9999999999999995E-4</v>
      </c>
      <c r="K39" s="410">
        <v>1.0706</v>
      </c>
      <c r="L39" s="422">
        <v>1.12E-2</v>
      </c>
      <c r="M39" s="412">
        <v>-1.384E-2</v>
      </c>
      <c r="N39" s="413">
        <v>-1.2E-4</v>
      </c>
      <c r="O39" s="414">
        <v>3.5165999999999999</v>
      </c>
      <c r="P39" s="415">
        <v>0.71240000000000003</v>
      </c>
      <c r="Q39" s="415">
        <v>0.36809999999999998</v>
      </c>
      <c r="R39" s="415">
        <v>0.1195</v>
      </c>
      <c r="S39" s="415">
        <v>-0.10349999999999999</v>
      </c>
      <c r="T39" s="415">
        <v>-6.3899999999999998E-2</v>
      </c>
      <c r="U39" s="415">
        <v>3.2899999999999999E-2</v>
      </c>
      <c r="V39" s="415">
        <v>3.1899999999999998E-2</v>
      </c>
      <c r="W39" s="415">
        <v>2.98E-2</v>
      </c>
      <c r="X39" s="416">
        <v>2.8675999999999999</v>
      </c>
      <c r="Y39" s="418">
        <v>0.15690000000000001</v>
      </c>
      <c r="Z39" s="418">
        <v>0.15529999999999999</v>
      </c>
      <c r="AA39" s="418">
        <v>9.69E-2</v>
      </c>
      <c r="AB39" s="419">
        <v>-17331.324799999999</v>
      </c>
      <c r="AC39" s="419">
        <v>-3066.7020000000002</v>
      </c>
      <c r="AD39" s="419">
        <v>-2450.6084999999998</v>
      </c>
      <c r="AE39" s="419">
        <v>-472.48919999999998</v>
      </c>
      <c r="AF39" s="420">
        <v>0.91449999999999998</v>
      </c>
      <c r="AG39" s="370"/>
    </row>
    <row r="40" spans="1:33">
      <c r="A40" s="370"/>
      <c r="B40" s="406">
        <f t="shared" si="1"/>
        <v>35</v>
      </c>
      <c r="C40" s="407">
        <v>9.9500000000000005E-2</v>
      </c>
      <c r="D40" s="407">
        <v>1.1999999999999999E-3</v>
      </c>
      <c r="E40" s="407">
        <v>-0.23330000000000001</v>
      </c>
      <c r="F40" s="407">
        <v>9.1999999999999998E-3</v>
      </c>
      <c r="G40" s="407">
        <v>-2.8999999999999998E-3</v>
      </c>
      <c r="H40" s="407">
        <v>-4.1999999999999997E-3</v>
      </c>
      <c r="I40" s="409">
        <v>6.0000000000000001E-3</v>
      </c>
      <c r="J40" s="407">
        <v>5.9999999999999995E-4</v>
      </c>
      <c r="K40" s="410">
        <v>1.0982000000000001</v>
      </c>
      <c r="L40" s="422">
        <v>1.15E-2</v>
      </c>
      <c r="M40" s="412">
        <v>-1.3679999999999999E-2</v>
      </c>
      <c r="N40" s="413">
        <v>-1.1E-4</v>
      </c>
      <c r="O40" s="414">
        <v>3.6071</v>
      </c>
      <c r="P40" s="415">
        <v>0.73080000000000001</v>
      </c>
      <c r="Q40" s="415">
        <v>0.37759999999999999</v>
      </c>
      <c r="R40" s="415">
        <v>0.1225</v>
      </c>
      <c r="S40" s="415">
        <v>-0.1062</v>
      </c>
      <c r="T40" s="415">
        <v>-6.5600000000000006E-2</v>
      </c>
      <c r="U40" s="415">
        <v>3.3700000000000001E-2</v>
      </c>
      <c r="V40" s="415">
        <v>3.27E-2</v>
      </c>
      <c r="W40" s="415">
        <v>3.0599999999999999E-2</v>
      </c>
      <c r="X40" s="416">
        <v>2.9413999999999998</v>
      </c>
      <c r="Y40" s="418">
        <v>0.16089999999999999</v>
      </c>
      <c r="Z40" s="418">
        <v>0.1593</v>
      </c>
      <c r="AA40" s="418">
        <v>9.9400000000000002E-2</v>
      </c>
      <c r="AB40" s="419">
        <v>-17124.6643</v>
      </c>
      <c r="AC40" s="419">
        <v>-3030.1343000000002</v>
      </c>
      <c r="AD40" s="419">
        <v>-2421.3872000000001</v>
      </c>
      <c r="AE40" s="419">
        <v>-466.85520000000002</v>
      </c>
      <c r="AF40" s="420">
        <v>0.90959999999999996</v>
      </c>
      <c r="AG40" s="370"/>
    </row>
    <row r="41" spans="1:33">
      <c r="A41" s="370"/>
      <c r="B41" s="406">
        <f t="shared" si="1"/>
        <v>36</v>
      </c>
      <c r="C41" s="407">
        <v>0.1019</v>
      </c>
      <c r="D41" s="407">
        <v>1.1999999999999999E-3</v>
      </c>
      <c r="E41" s="407">
        <v>-0.23910000000000001</v>
      </c>
      <c r="F41" s="407">
        <v>9.4999999999999998E-3</v>
      </c>
      <c r="G41" s="407">
        <v>-3.0000000000000001E-3</v>
      </c>
      <c r="H41" s="407">
        <v>-4.3E-3</v>
      </c>
      <c r="I41" s="409">
        <v>6.1000000000000004E-3</v>
      </c>
      <c r="J41" s="407">
        <v>5.9999999999999995E-4</v>
      </c>
      <c r="K41" s="410">
        <v>1.1254</v>
      </c>
      <c r="L41" s="422">
        <v>1.18E-2</v>
      </c>
      <c r="M41" s="412">
        <v>-1.3509999999999999E-2</v>
      </c>
      <c r="N41" s="413">
        <v>-1.1E-4</v>
      </c>
      <c r="O41" s="414">
        <v>3.6964000000000001</v>
      </c>
      <c r="P41" s="415">
        <v>0.74890000000000001</v>
      </c>
      <c r="Q41" s="415">
        <v>0.38690000000000002</v>
      </c>
      <c r="R41" s="415">
        <v>0.12559999999999999</v>
      </c>
      <c r="S41" s="415">
        <v>-0.10879999999999999</v>
      </c>
      <c r="T41" s="415">
        <v>-6.7199999999999996E-2</v>
      </c>
      <c r="U41" s="415">
        <v>3.4599999999999999E-2</v>
      </c>
      <c r="V41" s="415">
        <v>3.3500000000000002E-2</v>
      </c>
      <c r="W41" s="415">
        <v>3.1300000000000001E-2</v>
      </c>
      <c r="X41" s="416">
        <v>3.0143</v>
      </c>
      <c r="Y41" s="418">
        <v>0.16489999999999999</v>
      </c>
      <c r="Z41" s="418">
        <v>0.16320000000000001</v>
      </c>
      <c r="AA41" s="418">
        <v>0.1018</v>
      </c>
      <c r="AB41" s="419">
        <v>-16912.787499999999</v>
      </c>
      <c r="AC41" s="419">
        <v>-2992.6437000000001</v>
      </c>
      <c r="AD41" s="419">
        <v>-2391.4283</v>
      </c>
      <c r="AE41" s="419">
        <v>-461.07900000000001</v>
      </c>
      <c r="AF41" s="420">
        <v>0.90449999999999997</v>
      </c>
      <c r="AG41" s="370"/>
    </row>
    <row r="42" spans="1:33">
      <c r="A42" s="370"/>
      <c r="B42" s="406">
        <f t="shared" si="1"/>
        <v>37</v>
      </c>
      <c r="C42" s="407">
        <v>0.10440000000000001</v>
      </c>
      <c r="D42" s="407">
        <v>1.2999999999999999E-3</v>
      </c>
      <c r="E42" s="407">
        <v>-0.24479999999999999</v>
      </c>
      <c r="F42" s="407">
        <v>9.7000000000000003E-3</v>
      </c>
      <c r="G42" s="407">
        <v>-3.0999999999999999E-3</v>
      </c>
      <c r="H42" s="407">
        <v>-4.4999999999999997E-3</v>
      </c>
      <c r="I42" s="409">
        <v>6.3E-3</v>
      </c>
      <c r="J42" s="407">
        <v>5.9999999999999995E-4</v>
      </c>
      <c r="K42" s="410">
        <v>1.1521999999999999</v>
      </c>
      <c r="L42" s="422">
        <v>1.2E-2</v>
      </c>
      <c r="M42" s="412">
        <v>-1.3339999999999999E-2</v>
      </c>
      <c r="N42" s="413">
        <v>-1.1E-4</v>
      </c>
      <c r="O42" s="414">
        <v>3.7847</v>
      </c>
      <c r="P42" s="415">
        <v>0.76670000000000005</v>
      </c>
      <c r="Q42" s="415">
        <v>0.3962</v>
      </c>
      <c r="R42" s="415">
        <v>0.12859999999999999</v>
      </c>
      <c r="S42" s="415">
        <v>-0.1114</v>
      </c>
      <c r="T42" s="415">
        <v>-6.88E-2</v>
      </c>
      <c r="U42" s="415">
        <v>3.5400000000000001E-2</v>
      </c>
      <c r="V42" s="415">
        <v>3.4299999999999997E-2</v>
      </c>
      <c r="W42" s="415">
        <v>3.2099999999999997E-2</v>
      </c>
      <c r="X42" s="416">
        <v>3.0861999999999998</v>
      </c>
      <c r="Y42" s="418">
        <v>0.16889999999999999</v>
      </c>
      <c r="Z42" s="418">
        <v>0.1671</v>
      </c>
      <c r="AA42" s="418">
        <v>0.1043</v>
      </c>
      <c r="AB42" s="419">
        <v>-16695.758900000001</v>
      </c>
      <c r="AC42" s="419">
        <v>-2954.2413999999999</v>
      </c>
      <c r="AD42" s="419">
        <v>-2360.741</v>
      </c>
      <c r="AE42" s="419">
        <v>-455.16230000000002</v>
      </c>
      <c r="AF42" s="420">
        <v>0.89929999999999999</v>
      </c>
      <c r="AG42" s="370"/>
    </row>
    <row r="43" spans="1:33">
      <c r="A43" s="370"/>
      <c r="B43" s="406">
        <f t="shared" si="1"/>
        <v>38</v>
      </c>
      <c r="C43" s="407">
        <v>0.10680000000000001</v>
      </c>
      <c r="D43" s="407">
        <v>1.2999999999999999E-3</v>
      </c>
      <c r="E43" s="407">
        <v>-0.2505</v>
      </c>
      <c r="F43" s="407">
        <v>9.9000000000000008E-3</v>
      </c>
      <c r="G43" s="407">
        <v>-3.0999999999999999E-3</v>
      </c>
      <c r="H43" s="407">
        <v>-4.5999999999999999E-3</v>
      </c>
      <c r="I43" s="409">
        <v>6.4000000000000003E-3</v>
      </c>
      <c r="J43" s="407">
        <v>5.9999999999999995E-4</v>
      </c>
      <c r="K43" s="410">
        <v>1.1787000000000001</v>
      </c>
      <c r="L43" s="422">
        <v>1.23E-2</v>
      </c>
      <c r="M43" s="412">
        <v>-1.316E-2</v>
      </c>
      <c r="N43" s="413">
        <v>-1.1E-4</v>
      </c>
      <c r="O43" s="414">
        <v>3.8717999999999999</v>
      </c>
      <c r="P43" s="415">
        <v>0.78439999999999999</v>
      </c>
      <c r="Q43" s="415">
        <v>0.40529999999999999</v>
      </c>
      <c r="R43" s="415">
        <v>0.13150000000000001</v>
      </c>
      <c r="S43" s="415">
        <v>-0.114</v>
      </c>
      <c r="T43" s="415">
        <v>-7.0400000000000004E-2</v>
      </c>
      <c r="U43" s="415">
        <v>3.6200000000000003E-2</v>
      </c>
      <c r="V43" s="415">
        <v>3.5099999999999999E-2</v>
      </c>
      <c r="W43" s="415">
        <v>3.2800000000000003E-2</v>
      </c>
      <c r="X43" s="416">
        <v>3.1572</v>
      </c>
      <c r="Y43" s="418">
        <v>0.17280000000000001</v>
      </c>
      <c r="Z43" s="418">
        <v>0.17100000000000001</v>
      </c>
      <c r="AA43" s="418">
        <v>0.1067</v>
      </c>
      <c r="AB43" s="419">
        <v>-16473.644499999999</v>
      </c>
      <c r="AC43" s="419">
        <v>-2914.9391999999998</v>
      </c>
      <c r="AD43" s="419">
        <v>-2329.3346000000001</v>
      </c>
      <c r="AE43" s="419">
        <v>-449.10700000000003</v>
      </c>
      <c r="AF43" s="420">
        <v>0.89400000000000002</v>
      </c>
      <c r="AG43" s="370"/>
    </row>
    <row r="44" spans="1:33">
      <c r="A44" s="370"/>
      <c r="B44" s="406">
        <f t="shared" si="1"/>
        <v>39</v>
      </c>
      <c r="C44" s="407">
        <v>0.1091</v>
      </c>
      <c r="D44" s="407">
        <v>1.2999999999999999E-3</v>
      </c>
      <c r="E44" s="407">
        <v>-0.25600000000000001</v>
      </c>
      <c r="F44" s="407">
        <v>1.01E-2</v>
      </c>
      <c r="G44" s="407">
        <v>-3.2000000000000002E-3</v>
      </c>
      <c r="H44" s="407">
        <v>-4.7000000000000002E-3</v>
      </c>
      <c r="I44" s="409">
        <v>6.4999999999999997E-3</v>
      </c>
      <c r="J44" s="407">
        <v>5.9999999999999995E-4</v>
      </c>
      <c r="K44" s="410">
        <v>1.2049000000000001</v>
      </c>
      <c r="L44" s="422">
        <v>1.26E-2</v>
      </c>
      <c r="M44" s="412">
        <v>-1.298E-2</v>
      </c>
      <c r="N44" s="413">
        <v>-1.1E-4</v>
      </c>
      <c r="O44" s="414">
        <v>3.9577</v>
      </c>
      <c r="P44" s="415">
        <v>0.80179999999999996</v>
      </c>
      <c r="Q44" s="415">
        <v>0.4143</v>
      </c>
      <c r="R44" s="415">
        <v>0.13439999999999999</v>
      </c>
      <c r="S44" s="415">
        <v>-0.11650000000000001</v>
      </c>
      <c r="T44" s="415">
        <v>-7.1999999999999995E-2</v>
      </c>
      <c r="U44" s="415">
        <v>3.6999999999999998E-2</v>
      </c>
      <c r="V44" s="415">
        <v>3.5900000000000001E-2</v>
      </c>
      <c r="W44" s="415">
        <v>3.3599999999999998E-2</v>
      </c>
      <c r="X44" s="416">
        <v>3.2273000000000001</v>
      </c>
      <c r="Y44" s="418">
        <v>0.17660000000000001</v>
      </c>
      <c r="Z44" s="418">
        <v>0.17480000000000001</v>
      </c>
      <c r="AA44" s="418">
        <v>0.109</v>
      </c>
      <c r="AB44" s="419">
        <v>-16246.512199999999</v>
      </c>
      <c r="AC44" s="419">
        <v>-2874.7492000000002</v>
      </c>
      <c r="AD44" s="419">
        <v>-2297.2186000000002</v>
      </c>
      <c r="AE44" s="419">
        <v>-442.91489999999999</v>
      </c>
      <c r="AF44" s="420">
        <v>0.88859999999999995</v>
      </c>
      <c r="AG44" s="370"/>
    </row>
    <row r="45" spans="1:33">
      <c r="A45" s="370"/>
      <c r="B45" s="406">
        <f t="shared" si="1"/>
        <v>40</v>
      </c>
      <c r="C45" s="407">
        <v>0.1115</v>
      </c>
      <c r="D45" s="407">
        <v>1.2999999999999999E-3</v>
      </c>
      <c r="E45" s="407">
        <v>-0.26150000000000001</v>
      </c>
      <c r="F45" s="407">
        <v>1.03E-2</v>
      </c>
      <c r="G45" s="407">
        <v>-3.3E-3</v>
      </c>
      <c r="H45" s="407">
        <v>-4.7999999999999996E-3</v>
      </c>
      <c r="I45" s="409">
        <v>6.7000000000000002E-3</v>
      </c>
      <c r="J45" s="407">
        <v>5.9999999999999995E-4</v>
      </c>
      <c r="K45" s="410">
        <v>1.2306999999999999</v>
      </c>
      <c r="L45" s="422">
        <v>1.29E-2</v>
      </c>
      <c r="M45" s="412">
        <v>-1.2789999999999999E-2</v>
      </c>
      <c r="N45" s="413">
        <v>-1.1E-4</v>
      </c>
      <c r="O45" s="414">
        <v>4.0423</v>
      </c>
      <c r="P45" s="415">
        <v>0.81889999999999996</v>
      </c>
      <c r="Q45" s="415">
        <v>0.42320000000000002</v>
      </c>
      <c r="R45" s="415">
        <v>0.13730000000000001</v>
      </c>
      <c r="S45" s="415">
        <v>-0.11899999999999999</v>
      </c>
      <c r="T45" s="415">
        <v>-7.3499999999999996E-2</v>
      </c>
      <c r="U45" s="415">
        <v>3.78E-2</v>
      </c>
      <c r="V45" s="415">
        <v>3.6700000000000003E-2</v>
      </c>
      <c r="W45" s="415">
        <v>3.4299999999999997E-2</v>
      </c>
      <c r="X45" s="416">
        <v>3.2963</v>
      </c>
      <c r="Y45" s="418">
        <v>0.1804</v>
      </c>
      <c r="Z45" s="418">
        <v>0.17849999999999999</v>
      </c>
      <c r="AA45" s="418">
        <v>0.1114</v>
      </c>
      <c r="AB45" s="419">
        <v>-16014.431</v>
      </c>
      <c r="AC45" s="419">
        <v>-2833.6833999999999</v>
      </c>
      <c r="AD45" s="419">
        <v>-2264.4029</v>
      </c>
      <c r="AE45" s="419">
        <v>-436.58789999999999</v>
      </c>
      <c r="AF45" s="420">
        <v>0.88300000000000001</v>
      </c>
      <c r="AG45" s="370"/>
    </row>
    <row r="46" spans="1:33">
      <c r="A46" s="370"/>
      <c r="B46" s="406">
        <f t="shared" si="1"/>
        <v>41</v>
      </c>
      <c r="C46" s="407">
        <v>0.1138</v>
      </c>
      <c r="D46" s="407">
        <v>1.4E-3</v>
      </c>
      <c r="E46" s="407">
        <v>-0.26690000000000003</v>
      </c>
      <c r="F46" s="407">
        <v>1.06E-2</v>
      </c>
      <c r="G46" s="407">
        <v>-3.3E-3</v>
      </c>
      <c r="H46" s="407">
        <v>-4.8999999999999998E-3</v>
      </c>
      <c r="I46" s="409">
        <v>6.7999999999999996E-3</v>
      </c>
      <c r="J46" s="407">
        <v>6.9999999999999999E-4</v>
      </c>
      <c r="K46" s="410">
        <v>1.2561</v>
      </c>
      <c r="L46" s="422">
        <v>1.3100000000000001E-2</v>
      </c>
      <c r="M46" s="412">
        <v>-1.26E-2</v>
      </c>
      <c r="N46" s="413">
        <v>-1.1E-4</v>
      </c>
      <c r="O46" s="414">
        <v>4.1257999999999999</v>
      </c>
      <c r="P46" s="415">
        <v>0.83579999999999999</v>
      </c>
      <c r="Q46" s="415">
        <v>0.43190000000000001</v>
      </c>
      <c r="R46" s="415">
        <v>0.1401</v>
      </c>
      <c r="S46" s="415">
        <v>-0.12139999999999999</v>
      </c>
      <c r="T46" s="415">
        <v>-7.4999999999999997E-2</v>
      </c>
      <c r="U46" s="415">
        <v>3.8600000000000002E-2</v>
      </c>
      <c r="V46" s="415">
        <v>3.7400000000000003E-2</v>
      </c>
      <c r="W46" s="415">
        <v>3.5000000000000003E-2</v>
      </c>
      <c r="X46" s="416">
        <v>3.3643999999999998</v>
      </c>
      <c r="Y46" s="418">
        <v>0.18410000000000001</v>
      </c>
      <c r="Z46" s="418">
        <v>0.1822</v>
      </c>
      <c r="AA46" s="418">
        <v>0.1137</v>
      </c>
      <c r="AB46" s="419">
        <v>-15777.4717</v>
      </c>
      <c r="AC46" s="419">
        <v>-2791.7545</v>
      </c>
      <c r="AD46" s="419">
        <v>-2230.8973999999998</v>
      </c>
      <c r="AE46" s="419">
        <v>-430.12790000000001</v>
      </c>
      <c r="AF46" s="420">
        <v>0.87739999999999996</v>
      </c>
      <c r="AG46" s="370"/>
    </row>
    <row r="47" spans="1:33">
      <c r="A47" s="370"/>
      <c r="B47" s="406">
        <f t="shared" si="1"/>
        <v>42</v>
      </c>
      <c r="C47" s="407">
        <v>0.11600000000000001</v>
      </c>
      <c r="D47" s="407">
        <v>1.4E-3</v>
      </c>
      <c r="E47" s="407">
        <v>-0.2722</v>
      </c>
      <c r="F47" s="407">
        <v>1.0800000000000001E-2</v>
      </c>
      <c r="G47" s="407">
        <v>-3.3999999999999998E-3</v>
      </c>
      <c r="H47" s="407">
        <v>-5.0000000000000001E-3</v>
      </c>
      <c r="I47" s="409">
        <v>7.0000000000000001E-3</v>
      </c>
      <c r="J47" s="407">
        <v>6.9999999999999999E-4</v>
      </c>
      <c r="K47" s="410">
        <v>1.2810999999999999</v>
      </c>
      <c r="L47" s="422">
        <v>1.34E-2</v>
      </c>
      <c r="M47" s="412">
        <v>-1.2409999999999999E-2</v>
      </c>
      <c r="N47" s="413">
        <v>-1E-4</v>
      </c>
      <c r="O47" s="414">
        <v>4.2080000000000002</v>
      </c>
      <c r="P47" s="415">
        <v>0.85250000000000004</v>
      </c>
      <c r="Q47" s="415">
        <v>0.4405</v>
      </c>
      <c r="R47" s="415">
        <v>0.1429</v>
      </c>
      <c r="S47" s="415">
        <v>-0.1239</v>
      </c>
      <c r="T47" s="415">
        <v>-7.6499999999999999E-2</v>
      </c>
      <c r="U47" s="415">
        <v>3.9300000000000002E-2</v>
      </c>
      <c r="V47" s="415">
        <v>3.8199999999999998E-2</v>
      </c>
      <c r="W47" s="415">
        <v>3.5700000000000003E-2</v>
      </c>
      <c r="X47" s="416">
        <v>3.4314</v>
      </c>
      <c r="Y47" s="418">
        <v>0.18779999999999999</v>
      </c>
      <c r="Z47" s="418">
        <v>0.18579999999999999</v>
      </c>
      <c r="AA47" s="418">
        <v>0.1159</v>
      </c>
      <c r="AB47" s="419">
        <v>-15535.706399999999</v>
      </c>
      <c r="AC47" s="419">
        <v>-2748.9751999999999</v>
      </c>
      <c r="AD47" s="419">
        <v>-2196.7123000000001</v>
      </c>
      <c r="AE47" s="419">
        <v>-423.53680000000003</v>
      </c>
      <c r="AF47" s="420">
        <v>0.87160000000000004</v>
      </c>
      <c r="AG47" s="370"/>
    </row>
    <row r="48" spans="1:33">
      <c r="A48" s="370"/>
      <c r="B48" s="406">
        <f t="shared" si="1"/>
        <v>43</v>
      </c>
      <c r="C48" s="407">
        <v>0.1183</v>
      </c>
      <c r="D48" s="407">
        <v>1.4E-3</v>
      </c>
      <c r="E48" s="407">
        <v>-0.27739999999999998</v>
      </c>
      <c r="F48" s="407">
        <v>1.0999999999999999E-2</v>
      </c>
      <c r="G48" s="407">
        <v>-3.5000000000000001E-3</v>
      </c>
      <c r="H48" s="407">
        <v>-5.0000000000000001E-3</v>
      </c>
      <c r="I48" s="409">
        <v>7.1000000000000004E-3</v>
      </c>
      <c r="J48" s="407">
        <v>6.9999999999999999E-4</v>
      </c>
      <c r="K48" s="410">
        <v>1.3058000000000001</v>
      </c>
      <c r="L48" s="422">
        <v>1.3599999999999999E-2</v>
      </c>
      <c r="M48" s="412">
        <v>-1.221E-2</v>
      </c>
      <c r="N48" s="413">
        <v>-1E-4</v>
      </c>
      <c r="O48" s="414">
        <v>4.2888999999999999</v>
      </c>
      <c r="P48" s="415">
        <v>0.86890000000000001</v>
      </c>
      <c r="Q48" s="415">
        <v>0.44900000000000001</v>
      </c>
      <c r="R48" s="415">
        <v>0.1457</v>
      </c>
      <c r="S48" s="415">
        <v>-0.12620000000000001</v>
      </c>
      <c r="T48" s="415">
        <v>-7.8E-2</v>
      </c>
      <c r="U48" s="415">
        <v>4.0099999999999997E-2</v>
      </c>
      <c r="V48" s="415">
        <v>3.8899999999999997E-2</v>
      </c>
      <c r="W48" s="415">
        <v>3.6400000000000002E-2</v>
      </c>
      <c r="X48" s="416">
        <v>3.4973999999999998</v>
      </c>
      <c r="Y48" s="418">
        <v>0.19139999999999999</v>
      </c>
      <c r="Z48" s="418">
        <v>0.18940000000000001</v>
      </c>
      <c r="AA48" s="418">
        <v>0.1181</v>
      </c>
      <c r="AB48" s="419">
        <v>-15289.2088</v>
      </c>
      <c r="AC48" s="419">
        <v>-2705.3584999999998</v>
      </c>
      <c r="AD48" s="419">
        <v>-2161.8580999999999</v>
      </c>
      <c r="AE48" s="419">
        <v>-416.8168</v>
      </c>
      <c r="AF48" s="420">
        <v>0.86570000000000003</v>
      </c>
      <c r="AG48" s="370"/>
    </row>
    <row r="49" spans="1:33">
      <c r="A49" s="370"/>
      <c r="B49" s="406">
        <f t="shared" si="1"/>
        <v>44</v>
      </c>
      <c r="C49" s="407">
        <v>0.1205</v>
      </c>
      <c r="D49" s="407">
        <v>1.5E-3</v>
      </c>
      <c r="E49" s="407">
        <v>-0.28260000000000002</v>
      </c>
      <c r="F49" s="407">
        <v>1.12E-2</v>
      </c>
      <c r="G49" s="407">
        <v>-3.5000000000000001E-3</v>
      </c>
      <c r="H49" s="407">
        <v>-5.1000000000000004E-3</v>
      </c>
      <c r="I49" s="409">
        <v>7.1999999999999998E-3</v>
      </c>
      <c r="J49" s="407">
        <v>6.9999999999999999E-4</v>
      </c>
      <c r="K49" s="410">
        <v>1.33</v>
      </c>
      <c r="L49" s="422">
        <v>1.3899999999999999E-2</v>
      </c>
      <c r="M49" s="412">
        <v>-1.201E-2</v>
      </c>
      <c r="N49" s="413">
        <v>-1E-4</v>
      </c>
      <c r="O49" s="414">
        <v>4.3685</v>
      </c>
      <c r="P49" s="415">
        <v>0.88500000000000001</v>
      </c>
      <c r="Q49" s="415">
        <v>0.45729999999999998</v>
      </c>
      <c r="R49" s="415">
        <v>0.1484</v>
      </c>
      <c r="S49" s="415">
        <v>-0.12859999999999999</v>
      </c>
      <c r="T49" s="415">
        <v>-7.9399999999999998E-2</v>
      </c>
      <c r="U49" s="415">
        <v>4.0800000000000003E-2</v>
      </c>
      <c r="V49" s="415">
        <v>3.9600000000000003E-2</v>
      </c>
      <c r="W49" s="415">
        <v>3.6999999999999998E-2</v>
      </c>
      <c r="X49" s="416">
        <v>3.5623</v>
      </c>
      <c r="Y49" s="418">
        <v>0.19489999999999999</v>
      </c>
      <c r="Z49" s="418">
        <v>0.19289999999999999</v>
      </c>
      <c r="AA49" s="418">
        <v>0.1203</v>
      </c>
      <c r="AB49" s="419">
        <v>-15038.053900000001</v>
      </c>
      <c r="AC49" s="419">
        <v>-2660.9178000000002</v>
      </c>
      <c r="AD49" s="419">
        <v>-2126.3454000000002</v>
      </c>
      <c r="AE49" s="419">
        <v>-409.96969999999999</v>
      </c>
      <c r="AF49" s="420">
        <v>0.85970000000000002</v>
      </c>
      <c r="AG49" s="370"/>
    </row>
    <row r="50" spans="1:33">
      <c r="A50" s="370"/>
      <c r="B50" s="406">
        <f t="shared" si="1"/>
        <v>45</v>
      </c>
      <c r="C50" s="407">
        <v>0.1226</v>
      </c>
      <c r="D50" s="407">
        <v>1.5E-3</v>
      </c>
      <c r="E50" s="407">
        <v>-0.28770000000000001</v>
      </c>
      <c r="F50" s="407">
        <v>1.14E-2</v>
      </c>
      <c r="G50" s="407">
        <v>-3.5999999999999999E-3</v>
      </c>
      <c r="H50" s="407">
        <v>-5.1999999999999998E-3</v>
      </c>
      <c r="I50" s="409">
        <v>7.4000000000000003E-3</v>
      </c>
      <c r="J50" s="407">
        <v>6.9999999999999999E-4</v>
      </c>
      <c r="K50" s="410">
        <v>1.3537999999999999</v>
      </c>
      <c r="L50" s="422">
        <v>1.41E-2</v>
      </c>
      <c r="M50" s="412">
        <v>-1.1809999999999999E-2</v>
      </c>
      <c r="N50" s="413">
        <v>-1E-4</v>
      </c>
      <c r="O50" s="414">
        <v>4.4467999999999996</v>
      </c>
      <c r="P50" s="415">
        <v>0.90090000000000003</v>
      </c>
      <c r="Q50" s="415">
        <v>0.46550000000000002</v>
      </c>
      <c r="R50" s="415">
        <v>0.15110000000000001</v>
      </c>
      <c r="S50" s="415">
        <v>-0.13089999999999999</v>
      </c>
      <c r="T50" s="415">
        <v>-8.0799999999999997E-2</v>
      </c>
      <c r="U50" s="415">
        <v>4.1599999999999998E-2</v>
      </c>
      <c r="V50" s="415">
        <v>4.0399999999999998E-2</v>
      </c>
      <c r="W50" s="415">
        <v>3.7699999999999997E-2</v>
      </c>
      <c r="X50" s="416">
        <v>3.6261999999999999</v>
      </c>
      <c r="Y50" s="418">
        <v>0.19839999999999999</v>
      </c>
      <c r="Z50" s="418">
        <v>0.19639999999999999</v>
      </c>
      <c r="AA50" s="418">
        <v>0.1225</v>
      </c>
      <c r="AB50" s="419">
        <v>-14782.318300000001</v>
      </c>
      <c r="AC50" s="419">
        <v>-2615.6664999999998</v>
      </c>
      <c r="AD50" s="419">
        <v>-2090.1849999999999</v>
      </c>
      <c r="AE50" s="419">
        <v>-402.99779999999998</v>
      </c>
      <c r="AF50" s="420">
        <v>0.85360000000000003</v>
      </c>
      <c r="AG50" s="370"/>
    </row>
    <row r="51" spans="1:33">
      <c r="A51" s="370"/>
      <c r="B51" s="406">
        <f t="shared" si="1"/>
        <v>46</v>
      </c>
      <c r="C51" s="407">
        <v>0.12470000000000001</v>
      </c>
      <c r="D51" s="407">
        <v>1.5E-3</v>
      </c>
      <c r="E51" s="407">
        <v>-0.29260000000000003</v>
      </c>
      <c r="F51" s="407">
        <v>1.1599999999999999E-2</v>
      </c>
      <c r="G51" s="407">
        <v>-3.7000000000000002E-3</v>
      </c>
      <c r="H51" s="407">
        <v>-5.3E-3</v>
      </c>
      <c r="I51" s="409">
        <v>7.4999999999999997E-3</v>
      </c>
      <c r="J51" s="407">
        <v>6.9999999999999999E-4</v>
      </c>
      <c r="K51" s="410">
        <v>1.3772</v>
      </c>
      <c r="L51" s="422">
        <v>1.44E-2</v>
      </c>
      <c r="M51" s="412">
        <v>-1.1599999999999999E-2</v>
      </c>
      <c r="N51" s="413">
        <v>-1E-4</v>
      </c>
      <c r="O51" s="414">
        <v>4.5237999999999996</v>
      </c>
      <c r="P51" s="415">
        <v>0.91649999999999998</v>
      </c>
      <c r="Q51" s="415">
        <v>0.47360000000000002</v>
      </c>
      <c r="R51" s="415">
        <v>0.1537</v>
      </c>
      <c r="S51" s="415">
        <v>-0.13320000000000001</v>
      </c>
      <c r="T51" s="415">
        <v>-8.2199999999999995E-2</v>
      </c>
      <c r="U51" s="415">
        <v>4.2299999999999997E-2</v>
      </c>
      <c r="V51" s="415">
        <v>4.1000000000000002E-2</v>
      </c>
      <c r="W51" s="415">
        <v>3.8399999999999997E-2</v>
      </c>
      <c r="X51" s="416">
        <v>3.6888999999999998</v>
      </c>
      <c r="Y51" s="418">
        <v>0.2019</v>
      </c>
      <c r="Z51" s="418">
        <v>0.19980000000000001</v>
      </c>
      <c r="AA51" s="418">
        <v>0.1246</v>
      </c>
      <c r="AB51" s="419">
        <v>-14522.0798</v>
      </c>
      <c r="AC51" s="419">
        <v>-2569.6183999999998</v>
      </c>
      <c r="AD51" s="419">
        <v>-2053.3879000000002</v>
      </c>
      <c r="AE51" s="419">
        <v>-395.90320000000003</v>
      </c>
      <c r="AF51" s="420">
        <v>0.84730000000000005</v>
      </c>
      <c r="AG51" s="370"/>
    </row>
    <row r="52" spans="1:33">
      <c r="A52" s="370"/>
      <c r="B52" s="406">
        <f t="shared" si="1"/>
        <v>47</v>
      </c>
      <c r="C52" s="407">
        <v>0.1268</v>
      </c>
      <c r="D52" s="407">
        <v>1.5E-3</v>
      </c>
      <c r="E52" s="407">
        <v>-0.29749999999999999</v>
      </c>
      <c r="F52" s="407">
        <v>1.18E-2</v>
      </c>
      <c r="G52" s="407">
        <v>-3.7000000000000002E-3</v>
      </c>
      <c r="H52" s="407">
        <v>-5.4000000000000003E-3</v>
      </c>
      <c r="I52" s="409">
        <v>7.6E-3</v>
      </c>
      <c r="J52" s="407">
        <v>6.9999999999999999E-4</v>
      </c>
      <c r="K52" s="410">
        <v>1.4001999999999999</v>
      </c>
      <c r="L52" s="422">
        <v>1.46E-2</v>
      </c>
      <c r="M52" s="412">
        <v>-1.1390000000000001E-2</v>
      </c>
      <c r="N52" s="413">
        <v>-1E-4</v>
      </c>
      <c r="O52" s="414">
        <v>4.5993000000000004</v>
      </c>
      <c r="P52" s="415">
        <v>0.93179999999999996</v>
      </c>
      <c r="Q52" s="415">
        <v>0.48149999999999998</v>
      </c>
      <c r="R52" s="415">
        <v>0.15620000000000001</v>
      </c>
      <c r="S52" s="415">
        <v>-0.13539999999999999</v>
      </c>
      <c r="T52" s="415">
        <v>-8.3599999999999994E-2</v>
      </c>
      <c r="U52" s="415">
        <v>4.2999999999999997E-2</v>
      </c>
      <c r="V52" s="415">
        <v>4.1700000000000001E-2</v>
      </c>
      <c r="W52" s="415">
        <v>3.9E-2</v>
      </c>
      <c r="X52" s="416">
        <v>3.7505000000000002</v>
      </c>
      <c r="Y52" s="418">
        <v>0.20519999999999999</v>
      </c>
      <c r="Z52" s="418">
        <v>0.2031</v>
      </c>
      <c r="AA52" s="418">
        <v>0.12670000000000001</v>
      </c>
      <c r="AB52" s="419">
        <v>-14257.417799999999</v>
      </c>
      <c r="AC52" s="419">
        <v>-2522.7876000000001</v>
      </c>
      <c r="AD52" s="419">
        <v>-2015.9653000000001</v>
      </c>
      <c r="AE52" s="419">
        <v>-388.68790000000001</v>
      </c>
      <c r="AF52" s="420">
        <v>0.84099999999999997</v>
      </c>
      <c r="AG52" s="370"/>
    </row>
    <row r="53" spans="1:33">
      <c r="A53" s="370"/>
      <c r="B53" s="406">
        <f t="shared" si="1"/>
        <v>48</v>
      </c>
      <c r="C53" s="407">
        <v>0.12889999999999999</v>
      </c>
      <c r="D53" s="407">
        <v>1.6000000000000001E-3</v>
      </c>
      <c r="E53" s="407">
        <v>-0.30230000000000001</v>
      </c>
      <c r="F53" s="407">
        <v>1.2E-2</v>
      </c>
      <c r="G53" s="407">
        <v>-3.8E-3</v>
      </c>
      <c r="H53" s="407">
        <v>-5.4999999999999997E-3</v>
      </c>
      <c r="I53" s="409">
        <v>7.7000000000000002E-3</v>
      </c>
      <c r="J53" s="407">
        <v>6.9999999999999999E-4</v>
      </c>
      <c r="K53" s="410">
        <v>1.4228000000000001</v>
      </c>
      <c r="L53" s="422">
        <v>1.49E-2</v>
      </c>
      <c r="M53" s="412">
        <v>-1.1169999999999999E-2</v>
      </c>
      <c r="N53" s="413">
        <v>-9.0000000000000006E-5</v>
      </c>
      <c r="O53" s="414">
        <v>4.6734999999999998</v>
      </c>
      <c r="P53" s="415">
        <v>0.94679999999999997</v>
      </c>
      <c r="Q53" s="415">
        <v>0.48920000000000002</v>
      </c>
      <c r="R53" s="415">
        <v>0.15870000000000001</v>
      </c>
      <c r="S53" s="415">
        <v>-0.1376</v>
      </c>
      <c r="T53" s="415">
        <v>-8.5000000000000006E-2</v>
      </c>
      <c r="U53" s="415">
        <v>4.3700000000000003E-2</v>
      </c>
      <c r="V53" s="415">
        <v>4.24E-2</v>
      </c>
      <c r="W53" s="415">
        <v>3.9600000000000003E-2</v>
      </c>
      <c r="X53" s="416">
        <v>3.8109999999999999</v>
      </c>
      <c r="Y53" s="418">
        <v>0.20849999999999999</v>
      </c>
      <c r="Z53" s="418">
        <v>0.2064</v>
      </c>
      <c r="AA53" s="418">
        <v>0.12870000000000001</v>
      </c>
      <c r="AB53" s="419">
        <v>-13988.412899999999</v>
      </c>
      <c r="AC53" s="419">
        <v>-2475.1884</v>
      </c>
      <c r="AD53" s="419">
        <v>-1977.9286999999999</v>
      </c>
      <c r="AE53" s="419">
        <v>-381.35430000000002</v>
      </c>
      <c r="AF53" s="420">
        <v>0.83460000000000001</v>
      </c>
      <c r="AG53" s="370"/>
    </row>
    <row r="54" spans="1:33">
      <c r="A54" s="370"/>
      <c r="B54" s="406">
        <f t="shared" si="1"/>
        <v>49</v>
      </c>
      <c r="C54" s="407">
        <v>0.13089999999999999</v>
      </c>
      <c r="D54" s="407">
        <v>1.6000000000000001E-3</v>
      </c>
      <c r="E54" s="407">
        <v>-0.307</v>
      </c>
      <c r="F54" s="407">
        <v>1.2200000000000001E-2</v>
      </c>
      <c r="G54" s="407">
        <v>-3.8E-3</v>
      </c>
      <c r="H54" s="407">
        <v>-5.5999999999999999E-3</v>
      </c>
      <c r="I54" s="409">
        <v>7.7999999999999996E-3</v>
      </c>
      <c r="J54" s="407">
        <v>8.0000000000000004E-4</v>
      </c>
      <c r="K54" s="410">
        <v>1.4450000000000001</v>
      </c>
      <c r="L54" s="422">
        <v>1.5100000000000001E-2</v>
      </c>
      <c r="M54" s="412">
        <v>-1.0959999999999999E-2</v>
      </c>
      <c r="N54" s="413">
        <v>-9.0000000000000006E-5</v>
      </c>
      <c r="O54" s="414">
        <v>4.7462</v>
      </c>
      <c r="P54" s="415">
        <v>0.96150000000000002</v>
      </c>
      <c r="Q54" s="415">
        <v>0.49680000000000002</v>
      </c>
      <c r="R54" s="415">
        <v>0.16120000000000001</v>
      </c>
      <c r="S54" s="415">
        <v>-0.13969999999999999</v>
      </c>
      <c r="T54" s="415">
        <v>-8.6300000000000002E-2</v>
      </c>
      <c r="U54" s="415">
        <v>4.4400000000000002E-2</v>
      </c>
      <c r="V54" s="415">
        <v>4.3099999999999999E-2</v>
      </c>
      <c r="W54" s="415">
        <v>4.02E-2</v>
      </c>
      <c r="X54" s="416">
        <v>3.8702999999999999</v>
      </c>
      <c r="Y54" s="418">
        <v>0.21179999999999999</v>
      </c>
      <c r="Z54" s="418">
        <v>0.20960000000000001</v>
      </c>
      <c r="AA54" s="418">
        <v>0.13070000000000001</v>
      </c>
      <c r="AB54" s="419">
        <v>-13715.1469</v>
      </c>
      <c r="AC54" s="419">
        <v>-2426.8352</v>
      </c>
      <c r="AD54" s="419">
        <v>-1939.2895000000001</v>
      </c>
      <c r="AE54" s="419">
        <v>-373.90440000000001</v>
      </c>
      <c r="AF54" s="420">
        <v>0.82799999999999996</v>
      </c>
      <c r="AG54" s="370"/>
    </row>
    <row r="55" spans="1:33">
      <c r="A55" s="370"/>
      <c r="B55" s="406">
        <f t="shared" si="1"/>
        <v>50</v>
      </c>
      <c r="C55" s="407">
        <v>0.1328</v>
      </c>
      <c r="D55" s="407">
        <v>1.6000000000000001E-3</v>
      </c>
      <c r="E55" s="407">
        <v>-0.31159999999999999</v>
      </c>
      <c r="F55" s="407">
        <v>1.23E-2</v>
      </c>
      <c r="G55" s="407">
        <v>-3.8999999999999998E-3</v>
      </c>
      <c r="H55" s="407">
        <v>-5.7000000000000002E-3</v>
      </c>
      <c r="I55" s="409">
        <v>8.0000000000000002E-3</v>
      </c>
      <c r="J55" s="407">
        <v>8.0000000000000004E-4</v>
      </c>
      <c r="K55" s="410">
        <v>1.4666999999999999</v>
      </c>
      <c r="L55" s="422">
        <v>1.5299999999999999E-2</v>
      </c>
      <c r="M55" s="412">
        <v>-1.073E-2</v>
      </c>
      <c r="N55" s="413">
        <v>-9.0000000000000006E-5</v>
      </c>
      <c r="O55" s="414">
        <v>4.8174999999999999</v>
      </c>
      <c r="P55" s="415">
        <v>0.97599999999999998</v>
      </c>
      <c r="Q55" s="415">
        <v>0.50429999999999997</v>
      </c>
      <c r="R55" s="415">
        <v>0.1636</v>
      </c>
      <c r="S55" s="415">
        <v>-0.14180000000000001</v>
      </c>
      <c r="T55" s="415">
        <v>-8.7599999999999997E-2</v>
      </c>
      <c r="U55" s="415">
        <v>4.4999999999999998E-2</v>
      </c>
      <c r="V55" s="415">
        <v>4.3700000000000003E-2</v>
      </c>
      <c r="W55" s="415">
        <v>4.0800000000000003E-2</v>
      </c>
      <c r="X55" s="416">
        <v>3.9283999999999999</v>
      </c>
      <c r="Y55" s="418">
        <v>0.215</v>
      </c>
      <c r="Z55" s="418">
        <v>0.2127</v>
      </c>
      <c r="AA55" s="418">
        <v>0.13270000000000001</v>
      </c>
      <c r="AB55" s="419">
        <v>-13437.7032</v>
      </c>
      <c r="AC55" s="419">
        <v>-2377.7426999999998</v>
      </c>
      <c r="AD55" s="419">
        <v>-1900.0596</v>
      </c>
      <c r="AE55" s="419">
        <v>-366.34070000000003</v>
      </c>
      <c r="AF55" s="420">
        <v>0.82140000000000002</v>
      </c>
      <c r="AG55" s="370"/>
    </row>
    <row r="56" spans="1:33">
      <c r="A56" s="370"/>
      <c r="B56" s="406">
        <f t="shared" si="1"/>
        <v>51</v>
      </c>
      <c r="C56" s="407">
        <v>0.1348</v>
      </c>
      <c r="D56" s="407">
        <v>1.6000000000000001E-3</v>
      </c>
      <c r="E56" s="407">
        <v>-0.31609999999999999</v>
      </c>
      <c r="F56" s="407">
        <v>1.2500000000000001E-2</v>
      </c>
      <c r="G56" s="407">
        <v>-4.0000000000000001E-3</v>
      </c>
      <c r="H56" s="407">
        <v>-5.7999999999999996E-3</v>
      </c>
      <c r="I56" s="409">
        <v>8.0999999999999996E-3</v>
      </c>
      <c r="J56" s="407">
        <v>8.0000000000000004E-4</v>
      </c>
      <c r="K56" s="410">
        <v>1.4879</v>
      </c>
      <c r="L56" s="422">
        <v>1.55E-2</v>
      </c>
      <c r="M56" s="412">
        <v>-1.051E-2</v>
      </c>
      <c r="N56" s="413">
        <v>-9.0000000000000006E-5</v>
      </c>
      <c r="O56" s="414">
        <v>4.8872999999999998</v>
      </c>
      <c r="P56" s="415">
        <v>0.99009999999999998</v>
      </c>
      <c r="Q56" s="415">
        <v>0.51160000000000005</v>
      </c>
      <c r="R56" s="415">
        <v>0.16600000000000001</v>
      </c>
      <c r="S56" s="415">
        <v>-0.1439</v>
      </c>
      <c r="T56" s="415">
        <v>-8.8900000000000007E-2</v>
      </c>
      <c r="U56" s="415">
        <v>4.5699999999999998E-2</v>
      </c>
      <c r="V56" s="415">
        <v>4.4299999999999999E-2</v>
      </c>
      <c r="W56" s="415">
        <v>4.1399999999999999E-2</v>
      </c>
      <c r="X56" s="416">
        <v>3.9853999999999998</v>
      </c>
      <c r="Y56" s="418">
        <v>0.21809999999999999</v>
      </c>
      <c r="Z56" s="418">
        <v>0.21579999999999999</v>
      </c>
      <c r="AA56" s="418">
        <v>0.1346</v>
      </c>
      <c r="AB56" s="419">
        <v>-13156.1662</v>
      </c>
      <c r="AC56" s="419">
        <v>-2327.9259999999999</v>
      </c>
      <c r="AD56" s="419">
        <v>-1860.2509</v>
      </c>
      <c r="AE56" s="419">
        <v>-358.66539999999998</v>
      </c>
      <c r="AF56" s="420">
        <v>0.81469999999999998</v>
      </c>
      <c r="AG56" s="370"/>
    </row>
    <row r="57" spans="1:33">
      <c r="A57" s="370"/>
      <c r="B57" s="406">
        <f t="shared" si="1"/>
        <v>52</v>
      </c>
      <c r="C57" s="407">
        <v>0.1366</v>
      </c>
      <c r="D57" s="407">
        <v>1.6999999999999999E-3</v>
      </c>
      <c r="E57" s="407">
        <v>-0.3206</v>
      </c>
      <c r="F57" s="407">
        <v>1.2699999999999999E-2</v>
      </c>
      <c r="G57" s="407">
        <v>-4.0000000000000001E-3</v>
      </c>
      <c r="H57" s="407">
        <v>-5.7999999999999996E-3</v>
      </c>
      <c r="I57" s="409">
        <v>8.2000000000000007E-3</v>
      </c>
      <c r="J57" s="407">
        <v>8.0000000000000004E-4</v>
      </c>
      <c r="K57" s="410">
        <v>1.5086999999999999</v>
      </c>
      <c r="L57" s="422">
        <v>1.5800000000000002E-2</v>
      </c>
      <c r="M57" s="412">
        <v>-1.0279999999999999E-2</v>
      </c>
      <c r="N57" s="413">
        <v>-9.0000000000000006E-5</v>
      </c>
      <c r="O57" s="414">
        <v>4.9555999999999996</v>
      </c>
      <c r="P57" s="415">
        <v>1.0039</v>
      </c>
      <c r="Q57" s="415">
        <v>0.51880000000000004</v>
      </c>
      <c r="R57" s="415">
        <v>0.16830000000000001</v>
      </c>
      <c r="S57" s="415">
        <v>-0.1459</v>
      </c>
      <c r="T57" s="415">
        <v>-9.01E-2</v>
      </c>
      <c r="U57" s="415">
        <v>4.6300000000000001E-2</v>
      </c>
      <c r="V57" s="415">
        <v>4.4999999999999998E-2</v>
      </c>
      <c r="W57" s="415">
        <v>4.2000000000000003E-2</v>
      </c>
      <c r="X57" s="416">
        <v>4.0411000000000001</v>
      </c>
      <c r="Y57" s="418">
        <v>0.22109999999999999</v>
      </c>
      <c r="Z57" s="418">
        <v>0.21879999999999999</v>
      </c>
      <c r="AA57" s="418">
        <v>0.13650000000000001</v>
      </c>
      <c r="AB57" s="419">
        <v>-12870.6217</v>
      </c>
      <c r="AC57" s="419">
        <v>-2277.4000999999998</v>
      </c>
      <c r="AD57" s="419">
        <v>-1819.8756000000001</v>
      </c>
      <c r="AE57" s="419">
        <v>-350.8809</v>
      </c>
      <c r="AF57" s="420">
        <v>0.80779999999999996</v>
      </c>
      <c r="AG57" s="370"/>
    </row>
    <row r="58" spans="1:33">
      <c r="A58" s="370"/>
      <c r="B58" s="406">
        <f t="shared" si="1"/>
        <v>53</v>
      </c>
      <c r="C58" s="407">
        <v>0.13850000000000001</v>
      </c>
      <c r="D58" s="407">
        <v>1.6999999999999999E-3</v>
      </c>
      <c r="E58" s="407">
        <v>-0.32490000000000002</v>
      </c>
      <c r="F58" s="407">
        <v>1.29E-2</v>
      </c>
      <c r="G58" s="407">
        <v>-4.1000000000000003E-3</v>
      </c>
      <c r="H58" s="407">
        <v>-5.8999999999999999E-3</v>
      </c>
      <c r="I58" s="409">
        <v>8.3000000000000001E-3</v>
      </c>
      <c r="J58" s="407">
        <v>8.0000000000000004E-4</v>
      </c>
      <c r="K58" s="410">
        <v>1.5290999999999999</v>
      </c>
      <c r="L58" s="422">
        <v>1.6E-2</v>
      </c>
      <c r="M58" s="412">
        <v>-1.005E-2</v>
      </c>
      <c r="N58" s="413">
        <v>-8.0000000000000007E-5</v>
      </c>
      <c r="O58" s="414">
        <v>5.0224000000000002</v>
      </c>
      <c r="P58" s="415">
        <v>1.0175000000000001</v>
      </c>
      <c r="Q58" s="415">
        <v>0.52580000000000005</v>
      </c>
      <c r="R58" s="415">
        <v>0.1706</v>
      </c>
      <c r="S58" s="415">
        <v>-0.14779999999999999</v>
      </c>
      <c r="T58" s="415">
        <v>-9.1300000000000006E-2</v>
      </c>
      <c r="U58" s="415">
        <v>4.7E-2</v>
      </c>
      <c r="V58" s="415">
        <v>4.5600000000000002E-2</v>
      </c>
      <c r="W58" s="415">
        <v>4.2599999999999999E-2</v>
      </c>
      <c r="X58" s="416">
        <v>4.0956000000000001</v>
      </c>
      <c r="Y58" s="418">
        <v>0.22409999999999999</v>
      </c>
      <c r="Z58" s="418">
        <v>0.2218</v>
      </c>
      <c r="AA58" s="418">
        <v>0.1384</v>
      </c>
      <c r="AB58" s="419">
        <v>-12581.1567</v>
      </c>
      <c r="AC58" s="419">
        <v>-2226.1806000000001</v>
      </c>
      <c r="AD58" s="419">
        <v>-1778.9459999999999</v>
      </c>
      <c r="AE58" s="419">
        <v>-342.98939999999999</v>
      </c>
      <c r="AF58" s="420">
        <v>0.80089999999999995</v>
      </c>
      <c r="AG58" s="370"/>
    </row>
    <row r="59" spans="1:33">
      <c r="A59" s="370"/>
      <c r="B59" s="406">
        <f t="shared" si="1"/>
        <v>54</v>
      </c>
      <c r="C59" s="407">
        <v>0.14030000000000001</v>
      </c>
      <c r="D59" s="407">
        <v>1.6999999999999999E-3</v>
      </c>
      <c r="E59" s="407">
        <v>-0.3291</v>
      </c>
      <c r="F59" s="407">
        <v>1.2999999999999999E-2</v>
      </c>
      <c r="G59" s="407">
        <v>-4.1000000000000003E-3</v>
      </c>
      <c r="H59" s="407">
        <v>-6.0000000000000001E-3</v>
      </c>
      <c r="I59" s="409">
        <v>8.3999999999999995E-3</v>
      </c>
      <c r="J59" s="407">
        <v>8.0000000000000004E-4</v>
      </c>
      <c r="K59" s="410">
        <v>1.5488999999999999</v>
      </c>
      <c r="L59" s="422">
        <v>1.6199999999999999E-2</v>
      </c>
      <c r="M59" s="412">
        <v>-9.8200000000000006E-3</v>
      </c>
      <c r="N59" s="413">
        <v>-8.0000000000000007E-5</v>
      </c>
      <c r="O59" s="414">
        <v>5.0876999999999999</v>
      </c>
      <c r="P59" s="415">
        <v>1.0306999999999999</v>
      </c>
      <c r="Q59" s="415">
        <v>0.53259999999999996</v>
      </c>
      <c r="R59" s="415">
        <v>0.17280000000000001</v>
      </c>
      <c r="S59" s="415">
        <v>-0.14979999999999999</v>
      </c>
      <c r="T59" s="415">
        <v>-9.2499999999999999E-2</v>
      </c>
      <c r="U59" s="415">
        <v>4.7600000000000003E-2</v>
      </c>
      <c r="V59" s="415">
        <v>4.6199999999999998E-2</v>
      </c>
      <c r="W59" s="415">
        <v>4.3099999999999999E-2</v>
      </c>
      <c r="X59" s="416">
        <v>4.1487999999999996</v>
      </c>
      <c r="Y59" s="418">
        <v>0.22700000000000001</v>
      </c>
      <c r="Z59" s="418">
        <v>0.22470000000000001</v>
      </c>
      <c r="AA59" s="418">
        <v>0.14019999999999999</v>
      </c>
      <c r="AB59" s="419">
        <v>-12287.859399999999</v>
      </c>
      <c r="AC59" s="419">
        <v>-2174.2829000000002</v>
      </c>
      <c r="AD59" s="419">
        <v>-1737.4744000000001</v>
      </c>
      <c r="AE59" s="419">
        <v>-334.99349999999998</v>
      </c>
      <c r="AF59" s="420">
        <v>0.79390000000000005</v>
      </c>
      <c r="AG59" s="370"/>
    </row>
    <row r="60" spans="1:33">
      <c r="A60" s="370"/>
      <c r="B60" s="406">
        <f t="shared" si="1"/>
        <v>55</v>
      </c>
      <c r="C60" s="407">
        <v>0.14199999999999999</v>
      </c>
      <c r="D60" s="407">
        <v>1.6999999999999999E-3</v>
      </c>
      <c r="E60" s="407">
        <v>-0.3332</v>
      </c>
      <c r="F60" s="407">
        <v>1.32E-2</v>
      </c>
      <c r="G60" s="407">
        <v>-4.1999999999999997E-3</v>
      </c>
      <c r="H60" s="407">
        <v>-6.1000000000000004E-3</v>
      </c>
      <c r="I60" s="409">
        <v>8.5000000000000006E-3</v>
      </c>
      <c r="J60" s="407">
        <v>8.0000000000000004E-4</v>
      </c>
      <c r="K60" s="410">
        <v>1.5683</v>
      </c>
      <c r="L60" s="422">
        <v>1.6400000000000001E-2</v>
      </c>
      <c r="M60" s="412">
        <v>-9.58E-3</v>
      </c>
      <c r="N60" s="413">
        <v>-8.0000000000000007E-5</v>
      </c>
      <c r="O60" s="414">
        <v>5.1515000000000004</v>
      </c>
      <c r="P60" s="415">
        <v>1.0436000000000001</v>
      </c>
      <c r="Q60" s="415">
        <v>0.5393</v>
      </c>
      <c r="R60" s="415">
        <v>0.17499999999999999</v>
      </c>
      <c r="S60" s="415">
        <v>-0.15160000000000001</v>
      </c>
      <c r="T60" s="415">
        <v>-9.3700000000000006E-2</v>
      </c>
      <c r="U60" s="415">
        <v>4.82E-2</v>
      </c>
      <c r="V60" s="415">
        <v>4.6699999999999998E-2</v>
      </c>
      <c r="W60" s="415">
        <v>4.3700000000000003E-2</v>
      </c>
      <c r="X60" s="416">
        <v>4.2008000000000001</v>
      </c>
      <c r="Y60" s="418">
        <v>0.22989999999999999</v>
      </c>
      <c r="Z60" s="418">
        <v>0.22750000000000001</v>
      </c>
      <c r="AA60" s="418">
        <v>0.1419</v>
      </c>
      <c r="AB60" s="419">
        <v>-11990.819</v>
      </c>
      <c r="AC60" s="419">
        <v>-2121.7229000000002</v>
      </c>
      <c r="AD60" s="419">
        <v>-1695.4736</v>
      </c>
      <c r="AE60" s="419">
        <v>-326.8956</v>
      </c>
      <c r="AF60" s="420">
        <v>0.78680000000000005</v>
      </c>
      <c r="AG60" s="370"/>
    </row>
    <row r="61" spans="1:33">
      <c r="A61" s="370"/>
      <c r="B61" s="406">
        <f t="shared" si="1"/>
        <v>56</v>
      </c>
      <c r="C61" s="407">
        <v>0.14380000000000001</v>
      </c>
      <c r="D61" s="407">
        <v>1.6999999999999999E-3</v>
      </c>
      <c r="E61" s="407">
        <v>-0.33729999999999999</v>
      </c>
      <c r="F61" s="407">
        <v>1.3299999999999999E-2</v>
      </c>
      <c r="G61" s="407">
        <v>-4.1999999999999997E-3</v>
      </c>
      <c r="H61" s="407">
        <v>-6.1000000000000004E-3</v>
      </c>
      <c r="I61" s="409">
        <v>8.6E-3</v>
      </c>
      <c r="J61" s="407">
        <v>8.0000000000000004E-4</v>
      </c>
      <c r="K61" s="410">
        <v>1.5872999999999999</v>
      </c>
      <c r="L61" s="422">
        <v>1.66E-2</v>
      </c>
      <c r="M61" s="412">
        <v>-9.3399999999999993E-3</v>
      </c>
      <c r="N61" s="413">
        <v>-8.0000000000000007E-5</v>
      </c>
      <c r="O61" s="414">
        <v>5.2135999999999996</v>
      </c>
      <c r="P61" s="415">
        <v>1.0562</v>
      </c>
      <c r="Q61" s="415">
        <v>0.54579999999999995</v>
      </c>
      <c r="R61" s="415">
        <v>0.17710000000000001</v>
      </c>
      <c r="S61" s="415">
        <v>-0.1535</v>
      </c>
      <c r="T61" s="415">
        <v>-9.4799999999999995E-2</v>
      </c>
      <c r="U61" s="415">
        <v>4.87E-2</v>
      </c>
      <c r="V61" s="415">
        <v>4.7300000000000002E-2</v>
      </c>
      <c r="W61" s="415">
        <v>4.4200000000000003E-2</v>
      </c>
      <c r="X61" s="416">
        <v>4.2515000000000001</v>
      </c>
      <c r="Y61" s="418">
        <v>0.2326</v>
      </c>
      <c r="Z61" s="418">
        <v>0.23019999999999999</v>
      </c>
      <c r="AA61" s="418">
        <v>0.14360000000000001</v>
      </c>
      <c r="AB61" s="419">
        <v>-11690.126200000001</v>
      </c>
      <c r="AC61" s="419">
        <v>-2068.5165999999999</v>
      </c>
      <c r="AD61" s="419">
        <v>-1652.9563000000001</v>
      </c>
      <c r="AE61" s="419">
        <v>-318.69799999999998</v>
      </c>
      <c r="AF61" s="420">
        <v>0.77959999999999996</v>
      </c>
      <c r="AG61" s="370"/>
    </row>
    <row r="62" spans="1:33">
      <c r="A62" s="370"/>
      <c r="B62" s="406">
        <f t="shared" si="1"/>
        <v>57</v>
      </c>
      <c r="C62" s="407">
        <v>0.1454</v>
      </c>
      <c r="D62" s="407">
        <v>1.8E-3</v>
      </c>
      <c r="E62" s="407">
        <v>-0.3412</v>
      </c>
      <c r="F62" s="407">
        <v>1.35E-2</v>
      </c>
      <c r="G62" s="407">
        <v>-4.3E-3</v>
      </c>
      <c r="H62" s="407">
        <v>-6.1999999999999998E-3</v>
      </c>
      <c r="I62" s="409">
        <v>8.6999999999999994E-3</v>
      </c>
      <c r="J62" s="407">
        <v>8.0000000000000004E-4</v>
      </c>
      <c r="K62" s="410">
        <v>1.6056999999999999</v>
      </c>
      <c r="L62" s="422">
        <v>1.6799999999999999E-2</v>
      </c>
      <c r="M62" s="412">
        <v>-9.1000000000000004E-3</v>
      </c>
      <c r="N62" s="413">
        <v>-8.0000000000000007E-5</v>
      </c>
      <c r="O62" s="414">
        <v>5.2742000000000004</v>
      </c>
      <c r="P62" s="415">
        <v>1.0685</v>
      </c>
      <c r="Q62" s="415">
        <v>0.55210000000000004</v>
      </c>
      <c r="R62" s="415">
        <v>0.1792</v>
      </c>
      <c r="S62" s="415">
        <v>-0.15529999999999999</v>
      </c>
      <c r="T62" s="415">
        <v>-9.5899999999999999E-2</v>
      </c>
      <c r="U62" s="415">
        <v>4.9299999999999997E-2</v>
      </c>
      <c r="V62" s="415">
        <v>4.7899999999999998E-2</v>
      </c>
      <c r="W62" s="415">
        <v>4.4699999999999997E-2</v>
      </c>
      <c r="X62" s="416">
        <v>4.3009000000000004</v>
      </c>
      <c r="Y62" s="418">
        <v>0.23530000000000001</v>
      </c>
      <c r="Z62" s="418">
        <v>0.2329</v>
      </c>
      <c r="AA62" s="418">
        <v>0.14530000000000001</v>
      </c>
      <c r="AB62" s="419">
        <v>-11385.8724</v>
      </c>
      <c r="AC62" s="419">
        <v>-2014.6802</v>
      </c>
      <c r="AD62" s="419">
        <v>-1609.9356</v>
      </c>
      <c r="AE62" s="419">
        <v>-310.40339999999998</v>
      </c>
      <c r="AF62" s="420">
        <v>0.77229999999999999</v>
      </c>
      <c r="AG62" s="370"/>
    </row>
    <row r="63" spans="1:33">
      <c r="A63" s="370"/>
      <c r="B63" s="406">
        <f t="shared" si="1"/>
        <v>58</v>
      </c>
      <c r="C63" s="407">
        <v>0.14710000000000001</v>
      </c>
      <c r="D63" s="407">
        <v>1.8E-3</v>
      </c>
      <c r="E63" s="407">
        <v>-0.34499999999999997</v>
      </c>
      <c r="F63" s="407">
        <v>1.37E-2</v>
      </c>
      <c r="G63" s="407">
        <v>-4.3E-3</v>
      </c>
      <c r="H63" s="407">
        <v>-6.3E-3</v>
      </c>
      <c r="I63" s="409">
        <v>8.8000000000000005E-3</v>
      </c>
      <c r="J63" s="407">
        <v>8.0000000000000004E-4</v>
      </c>
      <c r="K63" s="410">
        <v>1.6236999999999999</v>
      </c>
      <c r="L63" s="422">
        <v>1.7000000000000001E-2</v>
      </c>
      <c r="M63" s="412">
        <v>-8.8500000000000002E-3</v>
      </c>
      <c r="N63" s="413">
        <v>-6.9999999999999994E-5</v>
      </c>
      <c r="O63" s="414">
        <v>5.3331999999999997</v>
      </c>
      <c r="P63" s="415">
        <v>1.0804</v>
      </c>
      <c r="Q63" s="415">
        <v>0.55830000000000002</v>
      </c>
      <c r="R63" s="415">
        <v>0.1812</v>
      </c>
      <c r="S63" s="415">
        <v>-0.157</v>
      </c>
      <c r="T63" s="415">
        <v>-9.7000000000000003E-2</v>
      </c>
      <c r="U63" s="415">
        <v>4.99E-2</v>
      </c>
      <c r="V63" s="415">
        <v>4.8399999999999999E-2</v>
      </c>
      <c r="W63" s="415">
        <v>4.5199999999999997E-2</v>
      </c>
      <c r="X63" s="416">
        <v>4.3490000000000002</v>
      </c>
      <c r="Y63" s="418">
        <v>0.23799999999999999</v>
      </c>
      <c r="Z63" s="418">
        <v>0.23549999999999999</v>
      </c>
      <c r="AA63" s="418">
        <v>0.1469</v>
      </c>
      <c r="AB63" s="419">
        <v>-11078.150299999999</v>
      </c>
      <c r="AC63" s="419">
        <v>-1960.2302</v>
      </c>
      <c r="AD63" s="419">
        <v>-1566.4244000000001</v>
      </c>
      <c r="AE63" s="419">
        <v>-302.01420000000002</v>
      </c>
      <c r="AF63" s="420">
        <v>0.76500000000000001</v>
      </c>
      <c r="AG63" s="370"/>
    </row>
    <row r="64" spans="1:33">
      <c r="A64" s="370"/>
      <c r="B64" s="406">
        <f t="shared" si="1"/>
        <v>59</v>
      </c>
      <c r="C64" s="407">
        <v>0.14860000000000001</v>
      </c>
      <c r="D64" s="407">
        <v>1.8E-3</v>
      </c>
      <c r="E64" s="407">
        <v>-0.34870000000000001</v>
      </c>
      <c r="F64" s="407">
        <v>1.38E-2</v>
      </c>
      <c r="G64" s="407">
        <v>-4.4000000000000003E-3</v>
      </c>
      <c r="H64" s="407">
        <v>-6.3E-3</v>
      </c>
      <c r="I64" s="409">
        <v>8.8999999999999999E-3</v>
      </c>
      <c r="J64" s="407">
        <v>8.9999999999999998E-4</v>
      </c>
      <c r="K64" s="410">
        <v>1.6411</v>
      </c>
      <c r="L64" s="422">
        <v>1.7100000000000001E-2</v>
      </c>
      <c r="M64" s="412">
        <v>-8.6E-3</v>
      </c>
      <c r="N64" s="413">
        <v>-6.9999999999999994E-5</v>
      </c>
      <c r="O64" s="414">
        <v>5.3905000000000003</v>
      </c>
      <c r="P64" s="415">
        <v>1.0921000000000001</v>
      </c>
      <c r="Q64" s="415">
        <v>0.56430000000000002</v>
      </c>
      <c r="R64" s="415">
        <v>0.18310000000000001</v>
      </c>
      <c r="S64" s="415">
        <v>-0.15870000000000001</v>
      </c>
      <c r="T64" s="415">
        <v>-9.8000000000000004E-2</v>
      </c>
      <c r="U64" s="415">
        <v>5.04E-2</v>
      </c>
      <c r="V64" s="415">
        <v>4.8899999999999999E-2</v>
      </c>
      <c r="W64" s="415">
        <v>4.5699999999999998E-2</v>
      </c>
      <c r="X64" s="416">
        <v>4.3956999999999997</v>
      </c>
      <c r="Y64" s="418">
        <v>0.24049999999999999</v>
      </c>
      <c r="Z64" s="418">
        <v>0.23799999999999999</v>
      </c>
      <c r="AA64" s="418">
        <v>0.14849999999999999</v>
      </c>
      <c r="AB64" s="419">
        <v>-10767.0538</v>
      </c>
      <c r="AC64" s="419">
        <v>-1905.183</v>
      </c>
      <c r="AD64" s="419">
        <v>-1522.4360999999999</v>
      </c>
      <c r="AE64" s="419">
        <v>-293.53309999999999</v>
      </c>
      <c r="AF64" s="420">
        <v>0.75749999999999995</v>
      </c>
      <c r="AG64" s="370"/>
    </row>
    <row r="65" spans="1:33">
      <c r="A65" s="370"/>
      <c r="B65" s="406">
        <f t="shared" si="1"/>
        <v>60</v>
      </c>
      <c r="C65" s="407">
        <v>0.1502</v>
      </c>
      <c r="D65" s="407">
        <v>1.8E-3</v>
      </c>
      <c r="E65" s="407">
        <v>-0.3523</v>
      </c>
      <c r="F65" s="407">
        <v>1.3899999999999999E-2</v>
      </c>
      <c r="G65" s="407">
        <v>-4.4000000000000003E-3</v>
      </c>
      <c r="H65" s="407">
        <v>-6.4000000000000003E-3</v>
      </c>
      <c r="I65" s="409">
        <v>8.9999999999999993E-3</v>
      </c>
      <c r="J65" s="407">
        <v>8.9999999999999998E-4</v>
      </c>
      <c r="K65" s="410">
        <v>1.6580999999999999</v>
      </c>
      <c r="L65" s="422">
        <v>1.7299999999999999E-2</v>
      </c>
      <c r="M65" s="412">
        <v>-8.3499999999999998E-3</v>
      </c>
      <c r="N65" s="413">
        <v>-6.9999999999999994E-5</v>
      </c>
      <c r="O65" s="414">
        <v>5.4462000000000002</v>
      </c>
      <c r="P65" s="415">
        <v>1.1032999999999999</v>
      </c>
      <c r="Q65" s="415">
        <v>0.57010000000000005</v>
      </c>
      <c r="R65" s="415">
        <v>0.185</v>
      </c>
      <c r="S65" s="415">
        <v>-0.1603</v>
      </c>
      <c r="T65" s="415">
        <v>-9.9000000000000005E-2</v>
      </c>
      <c r="U65" s="415">
        <v>5.0900000000000001E-2</v>
      </c>
      <c r="V65" s="415">
        <v>4.9399999999999999E-2</v>
      </c>
      <c r="W65" s="415">
        <v>4.6199999999999998E-2</v>
      </c>
      <c r="X65" s="416">
        <v>4.4410999999999996</v>
      </c>
      <c r="Y65" s="418">
        <v>0.24299999999999999</v>
      </c>
      <c r="Z65" s="418">
        <v>0.24049999999999999</v>
      </c>
      <c r="AA65" s="418">
        <v>0.15</v>
      </c>
      <c r="AB65" s="419">
        <v>-10452.6775</v>
      </c>
      <c r="AC65" s="419">
        <v>-1849.5554999999999</v>
      </c>
      <c r="AD65" s="419">
        <v>-1477.9839999999999</v>
      </c>
      <c r="AE65" s="419">
        <v>-284.96249999999998</v>
      </c>
      <c r="AF65" s="420">
        <v>0.75</v>
      </c>
      <c r="AG65" s="370"/>
    </row>
    <row r="66" spans="1:33">
      <c r="A66" s="370"/>
      <c r="B66" s="406">
        <f t="shared" si="1"/>
        <v>61</v>
      </c>
      <c r="C66" s="407">
        <v>0.1517</v>
      </c>
      <c r="D66" s="407">
        <v>1.8E-3</v>
      </c>
      <c r="E66" s="407">
        <v>-0.35580000000000001</v>
      </c>
      <c r="F66" s="407">
        <v>1.41E-2</v>
      </c>
      <c r="G66" s="407">
        <v>-4.4999999999999997E-3</v>
      </c>
      <c r="H66" s="408">
        <v>-6.4999999999999997E-3</v>
      </c>
      <c r="I66" s="409">
        <v>9.1000000000000004E-3</v>
      </c>
      <c r="J66" s="407">
        <v>8.9999999999999998E-4</v>
      </c>
      <c r="K66" s="410">
        <v>1.6745000000000001</v>
      </c>
      <c r="L66" s="411">
        <v>1.7500000000000002E-2</v>
      </c>
      <c r="M66" s="412">
        <v>-8.0999999999999996E-3</v>
      </c>
      <c r="N66" s="425">
        <v>-6.9999999999999994E-5</v>
      </c>
      <c r="O66" s="414">
        <v>5.5003000000000002</v>
      </c>
      <c r="P66" s="415">
        <v>1.1143000000000001</v>
      </c>
      <c r="Q66" s="424">
        <v>0.57579999999999998</v>
      </c>
      <c r="R66" s="415">
        <v>0.18679999999999999</v>
      </c>
      <c r="S66" s="415">
        <v>-0.16189999999999999</v>
      </c>
      <c r="T66" s="415">
        <v>-0.1</v>
      </c>
      <c r="U66" s="415">
        <v>5.1400000000000001E-2</v>
      </c>
      <c r="V66" s="415">
        <v>4.99E-2</v>
      </c>
      <c r="W66" s="415">
        <v>4.6600000000000003E-2</v>
      </c>
      <c r="X66" s="416">
        <v>4.4851999999999999</v>
      </c>
      <c r="Y66" s="417">
        <v>0.24540000000000001</v>
      </c>
      <c r="Z66" s="418">
        <v>0.2429</v>
      </c>
      <c r="AA66" s="418">
        <v>0.1515</v>
      </c>
      <c r="AB66" s="419">
        <v>-10135.117200000001</v>
      </c>
      <c r="AC66" s="419">
        <v>-1793.3646000000001</v>
      </c>
      <c r="AD66" s="419">
        <v>-1433.0817</v>
      </c>
      <c r="AE66" s="419">
        <v>-276.30509999999998</v>
      </c>
      <c r="AF66" s="420">
        <v>0.74239999999999995</v>
      </c>
      <c r="AG66" s="370"/>
    </row>
    <row r="67" spans="1:33">
      <c r="A67" s="370"/>
      <c r="B67" s="406">
        <f t="shared" si="1"/>
        <v>62</v>
      </c>
      <c r="C67" s="407">
        <v>0.15310000000000001</v>
      </c>
      <c r="D67" s="407">
        <v>1.9E-3</v>
      </c>
      <c r="E67" s="407">
        <v>-0.35920000000000002</v>
      </c>
      <c r="F67" s="407">
        <v>1.4200000000000001E-2</v>
      </c>
      <c r="G67" s="407">
        <v>-4.4999999999999997E-3</v>
      </c>
      <c r="H67" s="407">
        <v>-6.4999999999999997E-3</v>
      </c>
      <c r="I67" s="409">
        <v>9.1999999999999998E-3</v>
      </c>
      <c r="J67" s="407">
        <v>8.9999999999999998E-4</v>
      </c>
      <c r="K67" s="410">
        <v>1.6904999999999999</v>
      </c>
      <c r="L67" s="411">
        <v>1.77E-2</v>
      </c>
      <c r="M67" s="412">
        <v>-7.8399999999999997E-3</v>
      </c>
      <c r="N67" s="423">
        <v>-6.9999999999999994E-5</v>
      </c>
      <c r="O67" s="414">
        <v>5.5526999999999997</v>
      </c>
      <c r="P67" s="415">
        <v>1.1249</v>
      </c>
      <c r="Q67" s="415">
        <v>0.58130000000000004</v>
      </c>
      <c r="R67" s="415">
        <v>0.18859999999999999</v>
      </c>
      <c r="S67" s="415">
        <v>-0.16339999999999999</v>
      </c>
      <c r="T67" s="415">
        <v>-0.1009</v>
      </c>
      <c r="U67" s="415">
        <v>5.1900000000000002E-2</v>
      </c>
      <c r="V67" s="415">
        <v>5.04E-2</v>
      </c>
      <c r="W67" s="415">
        <v>4.7100000000000003E-2</v>
      </c>
      <c r="X67" s="416">
        <v>4.5278999999999998</v>
      </c>
      <c r="Y67" s="417">
        <v>0.24779999999999999</v>
      </c>
      <c r="Z67" s="418">
        <v>0.2452</v>
      </c>
      <c r="AA67" s="418">
        <v>0.153</v>
      </c>
      <c r="AB67" s="419">
        <v>-9814.4696999999996</v>
      </c>
      <c r="AC67" s="419">
        <v>-1736.6274000000001</v>
      </c>
      <c r="AD67" s="419">
        <v>-1387.7429</v>
      </c>
      <c r="AE67" s="419">
        <v>-267.56360000000001</v>
      </c>
      <c r="AF67" s="420">
        <v>0.73470000000000002</v>
      </c>
      <c r="AG67" s="370"/>
    </row>
    <row r="68" spans="1:33">
      <c r="A68" s="370"/>
      <c r="B68" s="406">
        <f t="shared" si="1"/>
        <v>63</v>
      </c>
      <c r="C68" s="407">
        <v>0.1545</v>
      </c>
      <c r="D68" s="407">
        <v>1.9E-3</v>
      </c>
      <c r="E68" s="407">
        <v>-0.36249999999999999</v>
      </c>
      <c r="F68" s="407">
        <v>1.43E-2</v>
      </c>
      <c r="G68" s="407">
        <v>-4.4999999999999997E-3</v>
      </c>
      <c r="H68" s="407">
        <v>-6.6E-3</v>
      </c>
      <c r="I68" s="409">
        <v>9.2999999999999992E-3</v>
      </c>
      <c r="J68" s="407">
        <v>8.9999999999999998E-4</v>
      </c>
      <c r="K68" s="410">
        <v>1.7059</v>
      </c>
      <c r="L68" s="422">
        <v>1.78E-2</v>
      </c>
      <c r="M68" s="412">
        <v>-7.5799999999999999E-3</v>
      </c>
      <c r="N68" s="413">
        <v>-6.0000000000000002E-5</v>
      </c>
      <c r="O68" s="414">
        <v>5.6032999999999999</v>
      </c>
      <c r="P68" s="415">
        <v>1.1352</v>
      </c>
      <c r="Q68" s="415">
        <v>0.58660000000000001</v>
      </c>
      <c r="R68" s="415">
        <v>0.1903</v>
      </c>
      <c r="S68" s="415">
        <v>-0.16489999999999999</v>
      </c>
      <c r="T68" s="415">
        <v>-0.1019</v>
      </c>
      <c r="U68" s="415">
        <v>5.2400000000000002E-2</v>
      </c>
      <c r="V68" s="415">
        <v>5.0799999999999998E-2</v>
      </c>
      <c r="W68" s="415">
        <v>4.7500000000000001E-2</v>
      </c>
      <c r="X68" s="416">
        <v>4.5692000000000004</v>
      </c>
      <c r="Y68" s="418">
        <v>0.25</v>
      </c>
      <c r="Z68" s="418">
        <v>0.24740000000000001</v>
      </c>
      <c r="AA68" s="418">
        <v>0.15440000000000001</v>
      </c>
      <c r="AB68" s="419">
        <v>-9490.8325999999997</v>
      </c>
      <c r="AC68" s="419">
        <v>-1679.3613</v>
      </c>
      <c r="AD68" s="419">
        <v>-1341.9813999999999</v>
      </c>
      <c r="AE68" s="419">
        <v>-258.7405</v>
      </c>
      <c r="AF68" s="420">
        <v>0.72699999999999998</v>
      </c>
      <c r="AG68" s="370"/>
    </row>
    <row r="69" spans="1:33">
      <c r="A69" s="370"/>
      <c r="B69" s="406">
        <f t="shared" si="1"/>
        <v>64</v>
      </c>
      <c r="C69" s="407">
        <v>0.15590000000000001</v>
      </c>
      <c r="D69" s="407">
        <v>1.9E-3</v>
      </c>
      <c r="E69" s="407">
        <v>-0.36559999999999998</v>
      </c>
      <c r="F69" s="407">
        <v>1.4500000000000001E-2</v>
      </c>
      <c r="G69" s="407">
        <v>-4.5999999999999999E-3</v>
      </c>
      <c r="H69" s="407">
        <v>-6.7000000000000002E-3</v>
      </c>
      <c r="I69" s="409">
        <v>9.2999999999999992E-3</v>
      </c>
      <c r="J69" s="407">
        <v>8.9999999999999998E-4</v>
      </c>
      <c r="K69" s="410">
        <v>1.7208000000000001</v>
      </c>
      <c r="L69" s="422">
        <v>1.7999999999999999E-2</v>
      </c>
      <c r="M69" s="412">
        <v>-7.3200000000000001E-3</v>
      </c>
      <c r="N69" s="413">
        <v>-6.0000000000000002E-5</v>
      </c>
      <c r="O69" s="414">
        <v>5.6523000000000003</v>
      </c>
      <c r="P69" s="415">
        <v>1.1451</v>
      </c>
      <c r="Q69" s="415">
        <v>0.5917</v>
      </c>
      <c r="R69" s="415">
        <v>0.192</v>
      </c>
      <c r="S69" s="415">
        <v>-0.16639999999999999</v>
      </c>
      <c r="T69" s="415">
        <v>-0.1028</v>
      </c>
      <c r="U69" s="415">
        <v>5.28E-2</v>
      </c>
      <c r="V69" s="415">
        <v>5.1299999999999998E-2</v>
      </c>
      <c r="W69" s="415">
        <v>4.7899999999999998E-2</v>
      </c>
      <c r="X69" s="416">
        <v>4.6092000000000004</v>
      </c>
      <c r="Y69" s="418">
        <v>0.25219999999999998</v>
      </c>
      <c r="Z69" s="418">
        <v>0.24959999999999999</v>
      </c>
      <c r="AA69" s="418">
        <v>0.15570000000000001</v>
      </c>
      <c r="AB69" s="419">
        <v>-9164.3044000000009</v>
      </c>
      <c r="AC69" s="419">
        <v>-1621.5835</v>
      </c>
      <c r="AD69" s="419">
        <v>-1295.8110999999999</v>
      </c>
      <c r="AE69" s="419">
        <v>-249.83869999999999</v>
      </c>
      <c r="AF69" s="420">
        <v>0.71919999999999995</v>
      </c>
      <c r="AG69" s="370"/>
    </row>
    <row r="70" spans="1:33">
      <c r="A70" s="370"/>
      <c r="B70" s="406">
        <f t="shared" si="1"/>
        <v>65</v>
      </c>
      <c r="C70" s="407">
        <v>0.15720000000000001</v>
      </c>
      <c r="D70" s="407">
        <v>1.9E-3</v>
      </c>
      <c r="E70" s="407">
        <v>-0.36870000000000003</v>
      </c>
      <c r="F70" s="407">
        <v>1.46E-2</v>
      </c>
      <c r="G70" s="407">
        <v>-4.5999999999999999E-3</v>
      </c>
      <c r="H70" s="407">
        <v>-6.7000000000000002E-3</v>
      </c>
      <c r="I70" s="409">
        <v>9.4000000000000004E-3</v>
      </c>
      <c r="J70" s="407">
        <v>8.9999999999999998E-4</v>
      </c>
      <c r="K70" s="410">
        <v>1.7352000000000001</v>
      </c>
      <c r="L70" s="422">
        <v>1.8100000000000002E-2</v>
      </c>
      <c r="M70" s="412">
        <v>-7.0600000000000003E-3</v>
      </c>
      <c r="N70" s="413">
        <v>-6.0000000000000002E-5</v>
      </c>
      <c r="O70" s="414">
        <v>5.6996000000000002</v>
      </c>
      <c r="P70" s="415">
        <v>1.1547000000000001</v>
      </c>
      <c r="Q70" s="415">
        <v>0.59660000000000002</v>
      </c>
      <c r="R70" s="415">
        <v>0.19359999999999999</v>
      </c>
      <c r="S70" s="415">
        <v>-0.1678</v>
      </c>
      <c r="T70" s="415">
        <v>-0.1036</v>
      </c>
      <c r="U70" s="415">
        <v>5.33E-2</v>
      </c>
      <c r="V70" s="415">
        <v>5.1700000000000003E-2</v>
      </c>
      <c r="W70" s="415">
        <v>4.8300000000000003E-2</v>
      </c>
      <c r="X70" s="416">
        <v>4.6477000000000004</v>
      </c>
      <c r="Y70" s="418">
        <v>0.25430000000000003</v>
      </c>
      <c r="Z70" s="418">
        <v>0.25169999999999998</v>
      </c>
      <c r="AA70" s="418">
        <v>0.157</v>
      </c>
      <c r="AB70" s="419">
        <v>-8834.9848000000002</v>
      </c>
      <c r="AC70" s="419">
        <v>-1563.3118999999999</v>
      </c>
      <c r="AD70" s="419">
        <v>-1249.2461000000001</v>
      </c>
      <c r="AE70" s="419">
        <v>-240.86070000000001</v>
      </c>
      <c r="AF70" s="420">
        <v>0.71130000000000004</v>
      </c>
      <c r="AG70" s="370"/>
    </row>
    <row r="71" spans="1:33">
      <c r="A71" s="370"/>
      <c r="B71" s="406">
        <f t="shared" si="1"/>
        <v>66</v>
      </c>
      <c r="C71" s="407">
        <v>0.15840000000000001</v>
      </c>
      <c r="D71" s="407">
        <v>1.9E-3</v>
      </c>
      <c r="E71" s="407">
        <v>-0.37159999999999999</v>
      </c>
      <c r="F71" s="407">
        <v>1.47E-2</v>
      </c>
      <c r="G71" s="407">
        <v>-4.7000000000000002E-3</v>
      </c>
      <c r="H71" s="407">
        <v>-6.7999999999999996E-3</v>
      </c>
      <c r="I71" s="409">
        <v>9.4999999999999998E-3</v>
      </c>
      <c r="J71" s="407">
        <v>8.9999999999999998E-4</v>
      </c>
      <c r="K71" s="410">
        <v>1.7491000000000001</v>
      </c>
      <c r="L71" s="422">
        <v>1.83E-2</v>
      </c>
      <c r="M71" s="412">
        <v>-6.79E-3</v>
      </c>
      <c r="N71" s="413">
        <v>-6.0000000000000002E-5</v>
      </c>
      <c r="O71" s="414">
        <v>5.7450999999999999</v>
      </c>
      <c r="P71" s="415">
        <v>1.1638999999999999</v>
      </c>
      <c r="Q71" s="415">
        <v>0.60140000000000005</v>
      </c>
      <c r="R71" s="415">
        <v>0.1951</v>
      </c>
      <c r="S71" s="415">
        <v>-0.1691</v>
      </c>
      <c r="T71" s="415">
        <v>-0.10440000000000001</v>
      </c>
      <c r="U71" s="415">
        <v>5.3699999999999998E-2</v>
      </c>
      <c r="V71" s="415">
        <v>5.21E-2</v>
      </c>
      <c r="W71" s="415">
        <v>4.87E-2</v>
      </c>
      <c r="X71" s="416">
        <v>4.6848000000000001</v>
      </c>
      <c r="Y71" s="418">
        <v>0.25629999999999997</v>
      </c>
      <c r="Z71" s="418">
        <v>0.25369999999999998</v>
      </c>
      <c r="AA71" s="418">
        <v>0.1583</v>
      </c>
      <c r="AB71" s="419">
        <v>-8502.9739000000009</v>
      </c>
      <c r="AC71" s="419">
        <v>-1504.5640000000001</v>
      </c>
      <c r="AD71" s="419">
        <v>-1202.3005000000001</v>
      </c>
      <c r="AE71" s="419">
        <v>-231.80940000000001</v>
      </c>
      <c r="AF71" s="420">
        <v>0.70340000000000003</v>
      </c>
      <c r="AG71" s="370"/>
    </row>
    <row r="72" spans="1:33">
      <c r="A72" s="370"/>
      <c r="B72" s="406">
        <f t="shared" ref="B72:B135" si="2">B71+1</f>
        <v>67</v>
      </c>
      <c r="C72" s="407">
        <v>0.15959999999999999</v>
      </c>
      <c r="D72" s="407">
        <v>1.9E-3</v>
      </c>
      <c r="E72" s="407">
        <v>-0.3745</v>
      </c>
      <c r="F72" s="407">
        <v>1.4800000000000001E-2</v>
      </c>
      <c r="G72" s="407">
        <v>-4.7000000000000002E-3</v>
      </c>
      <c r="H72" s="407">
        <v>-6.7999999999999996E-3</v>
      </c>
      <c r="I72" s="409">
        <v>9.5999999999999992E-3</v>
      </c>
      <c r="J72" s="407">
        <v>8.9999999999999998E-4</v>
      </c>
      <c r="K72" s="410">
        <v>1.7624</v>
      </c>
      <c r="L72" s="422">
        <v>1.84E-2</v>
      </c>
      <c r="M72" s="412">
        <v>-6.5300000000000002E-3</v>
      </c>
      <c r="N72" s="413">
        <v>-5.0000000000000002E-5</v>
      </c>
      <c r="O72" s="414">
        <v>5.7888000000000002</v>
      </c>
      <c r="P72" s="415">
        <v>1.1727000000000001</v>
      </c>
      <c r="Q72" s="415">
        <v>0.60599999999999998</v>
      </c>
      <c r="R72" s="415">
        <v>0.1966</v>
      </c>
      <c r="S72" s="415">
        <v>-0.1704</v>
      </c>
      <c r="T72" s="415">
        <v>-0.1052</v>
      </c>
      <c r="U72" s="415">
        <v>5.4100000000000002E-2</v>
      </c>
      <c r="V72" s="415">
        <v>5.2499999999999998E-2</v>
      </c>
      <c r="W72" s="415">
        <v>4.9099999999999998E-2</v>
      </c>
      <c r="X72" s="416">
        <v>4.7205000000000004</v>
      </c>
      <c r="Y72" s="418">
        <v>0.25829999999999997</v>
      </c>
      <c r="Z72" s="418">
        <v>0.25559999999999999</v>
      </c>
      <c r="AA72" s="418">
        <v>0.1595</v>
      </c>
      <c r="AB72" s="419">
        <v>-8168.3729999999996</v>
      </c>
      <c r="AC72" s="419">
        <v>-1445.3578</v>
      </c>
      <c r="AD72" s="419">
        <v>-1154.9887000000001</v>
      </c>
      <c r="AE72" s="419">
        <v>-222.6874</v>
      </c>
      <c r="AF72" s="420">
        <v>0.69540000000000002</v>
      </c>
      <c r="AG72" s="370"/>
    </row>
    <row r="73" spans="1:33">
      <c r="A73" s="370"/>
      <c r="B73" s="406">
        <f t="shared" si="2"/>
        <v>68</v>
      </c>
      <c r="C73" s="407">
        <v>0.1608</v>
      </c>
      <c r="D73" s="407">
        <v>1.9E-3</v>
      </c>
      <c r="E73" s="407">
        <v>-0.37719999999999998</v>
      </c>
      <c r="F73" s="407">
        <v>1.49E-2</v>
      </c>
      <c r="G73" s="407">
        <v>-4.7000000000000002E-3</v>
      </c>
      <c r="H73" s="407">
        <v>-6.8999999999999999E-3</v>
      </c>
      <c r="I73" s="409">
        <v>9.5999999999999992E-3</v>
      </c>
      <c r="J73" s="407">
        <v>8.9999999999999998E-4</v>
      </c>
      <c r="K73" s="410">
        <v>1.7751999999999999</v>
      </c>
      <c r="L73" s="422">
        <v>1.8499999999999999E-2</v>
      </c>
      <c r="M73" s="412">
        <v>-6.2599999999999999E-3</v>
      </c>
      <c r="N73" s="413">
        <v>-5.0000000000000002E-5</v>
      </c>
      <c r="O73" s="414">
        <v>5.8308</v>
      </c>
      <c r="P73" s="415">
        <v>1.1813</v>
      </c>
      <c r="Q73" s="415">
        <v>0.61040000000000005</v>
      </c>
      <c r="R73" s="415">
        <v>0.1981</v>
      </c>
      <c r="S73" s="415">
        <v>-0.1716</v>
      </c>
      <c r="T73" s="415">
        <v>-0.106</v>
      </c>
      <c r="U73" s="415">
        <v>5.45E-2</v>
      </c>
      <c r="V73" s="415">
        <v>5.2900000000000003E-2</v>
      </c>
      <c r="W73" s="415">
        <v>4.9399999999999999E-2</v>
      </c>
      <c r="X73" s="416">
        <v>4.7548000000000004</v>
      </c>
      <c r="Y73" s="418">
        <v>0.26019999999999999</v>
      </c>
      <c r="Z73" s="418">
        <v>0.25750000000000001</v>
      </c>
      <c r="AA73" s="418">
        <v>0.16059999999999999</v>
      </c>
      <c r="AB73" s="419">
        <v>-7831.2838000000002</v>
      </c>
      <c r="AC73" s="419">
        <v>-1385.7113999999999</v>
      </c>
      <c r="AD73" s="419">
        <v>-1107.3251</v>
      </c>
      <c r="AE73" s="419">
        <v>-213.49770000000001</v>
      </c>
      <c r="AF73" s="420">
        <v>0.68730000000000002</v>
      </c>
      <c r="AG73" s="370"/>
    </row>
    <row r="74" spans="1:33">
      <c r="A74" s="370"/>
      <c r="B74" s="406">
        <f t="shared" si="2"/>
        <v>69</v>
      </c>
      <c r="C74" s="407">
        <v>0.16189999999999999</v>
      </c>
      <c r="D74" s="407">
        <v>2E-3</v>
      </c>
      <c r="E74" s="407">
        <v>-0.37980000000000003</v>
      </c>
      <c r="F74" s="407">
        <v>1.4999999999999999E-2</v>
      </c>
      <c r="G74" s="407">
        <v>-4.7999999999999996E-3</v>
      </c>
      <c r="H74" s="407">
        <v>-6.8999999999999999E-3</v>
      </c>
      <c r="I74" s="409">
        <v>9.7000000000000003E-3</v>
      </c>
      <c r="J74" s="407">
        <v>8.9999999999999998E-4</v>
      </c>
      <c r="K74" s="410">
        <v>1.7874000000000001</v>
      </c>
      <c r="L74" s="422">
        <v>1.8700000000000001E-2</v>
      </c>
      <c r="M74" s="412">
        <v>-5.9800000000000001E-3</v>
      </c>
      <c r="N74" s="413">
        <v>-5.0000000000000002E-5</v>
      </c>
      <c r="O74" s="414">
        <v>5.8711000000000002</v>
      </c>
      <c r="P74" s="415">
        <v>1.1894</v>
      </c>
      <c r="Q74" s="415">
        <v>0.61460000000000004</v>
      </c>
      <c r="R74" s="415">
        <v>0.19939999999999999</v>
      </c>
      <c r="S74" s="415">
        <v>-0.17280000000000001</v>
      </c>
      <c r="T74" s="415">
        <v>-0.1067</v>
      </c>
      <c r="U74" s="415">
        <v>5.4899999999999997E-2</v>
      </c>
      <c r="V74" s="415">
        <v>5.33E-2</v>
      </c>
      <c r="W74" s="415">
        <v>4.9799999999999997E-2</v>
      </c>
      <c r="X74" s="416">
        <v>4.7876000000000003</v>
      </c>
      <c r="Y74" s="418">
        <v>0.26200000000000001</v>
      </c>
      <c r="Z74" s="418">
        <v>0.25919999999999999</v>
      </c>
      <c r="AA74" s="418">
        <v>0.16170000000000001</v>
      </c>
      <c r="AB74" s="419">
        <v>-7491.8091999999997</v>
      </c>
      <c r="AC74" s="419">
        <v>-1325.6428000000001</v>
      </c>
      <c r="AD74" s="419">
        <v>-1059.3242</v>
      </c>
      <c r="AE74" s="419">
        <v>-204.24289999999999</v>
      </c>
      <c r="AF74" s="420">
        <v>0.67920000000000003</v>
      </c>
      <c r="AG74" s="370"/>
    </row>
    <row r="75" spans="1:33">
      <c r="A75" s="370"/>
      <c r="B75" s="406">
        <f t="shared" si="2"/>
        <v>70</v>
      </c>
      <c r="C75" s="407">
        <v>0.16289999999999999</v>
      </c>
      <c r="D75" s="407">
        <v>2E-3</v>
      </c>
      <c r="E75" s="407">
        <v>-0.38229999999999997</v>
      </c>
      <c r="F75" s="407">
        <v>1.5100000000000001E-2</v>
      </c>
      <c r="G75" s="407">
        <v>-4.7999999999999996E-3</v>
      </c>
      <c r="H75" s="407">
        <v>-7.0000000000000001E-3</v>
      </c>
      <c r="I75" s="409">
        <v>9.7999999999999997E-3</v>
      </c>
      <c r="J75" s="407">
        <v>8.9999999999999998E-4</v>
      </c>
      <c r="K75" s="410">
        <v>1.7990999999999999</v>
      </c>
      <c r="L75" s="422">
        <v>1.8800000000000001E-2</v>
      </c>
      <c r="M75" s="412">
        <v>-5.7099999999999998E-3</v>
      </c>
      <c r="N75" s="413">
        <v>-5.0000000000000002E-5</v>
      </c>
      <c r="O75" s="414">
        <v>5.9095000000000004</v>
      </c>
      <c r="P75" s="415">
        <v>1.1972</v>
      </c>
      <c r="Q75" s="415">
        <v>0.61860000000000004</v>
      </c>
      <c r="R75" s="415">
        <v>0.20069999999999999</v>
      </c>
      <c r="S75" s="415">
        <v>-0.17399999999999999</v>
      </c>
      <c r="T75" s="415">
        <v>-0.1074</v>
      </c>
      <c r="U75" s="415">
        <v>5.5199999999999999E-2</v>
      </c>
      <c r="V75" s="415">
        <v>5.3600000000000002E-2</v>
      </c>
      <c r="W75" s="415">
        <v>5.0099999999999999E-2</v>
      </c>
      <c r="X75" s="416">
        <v>4.8189000000000002</v>
      </c>
      <c r="Y75" s="418">
        <v>0.26369999999999999</v>
      </c>
      <c r="Z75" s="418">
        <v>0.26090000000000002</v>
      </c>
      <c r="AA75" s="418">
        <v>0.1628</v>
      </c>
      <c r="AB75" s="419">
        <v>-7150.0524999999998</v>
      </c>
      <c r="AC75" s="419">
        <v>-1265.1704999999999</v>
      </c>
      <c r="AD75" s="419">
        <v>-1011.0006</v>
      </c>
      <c r="AE75" s="419">
        <v>-194.92580000000001</v>
      </c>
      <c r="AF75" s="420">
        <v>0.67100000000000004</v>
      </c>
      <c r="AG75" s="370"/>
    </row>
    <row r="76" spans="1:33">
      <c r="A76" s="370"/>
      <c r="B76" s="406">
        <f t="shared" si="2"/>
        <v>71</v>
      </c>
      <c r="C76" s="407">
        <v>0.16400000000000001</v>
      </c>
      <c r="D76" s="407">
        <v>2E-3</v>
      </c>
      <c r="E76" s="407">
        <v>-0.3846</v>
      </c>
      <c r="F76" s="407">
        <v>1.52E-2</v>
      </c>
      <c r="G76" s="407">
        <v>-4.7999999999999996E-3</v>
      </c>
      <c r="H76" s="407">
        <v>-7.0000000000000001E-3</v>
      </c>
      <c r="I76" s="409">
        <v>9.7999999999999997E-3</v>
      </c>
      <c r="J76" s="407">
        <v>8.9999999999999998E-4</v>
      </c>
      <c r="K76" s="410">
        <v>1.8103</v>
      </c>
      <c r="L76" s="422">
        <v>1.89E-2</v>
      </c>
      <c r="M76" s="412">
        <v>-5.4400000000000004E-3</v>
      </c>
      <c r="N76" s="413">
        <v>-5.0000000000000002E-5</v>
      </c>
      <c r="O76" s="414">
        <v>5.9462000000000002</v>
      </c>
      <c r="P76" s="415">
        <v>1.2045999999999999</v>
      </c>
      <c r="Q76" s="415">
        <v>0.62239999999999995</v>
      </c>
      <c r="R76" s="415">
        <v>0.20200000000000001</v>
      </c>
      <c r="S76" s="415">
        <v>-0.17499999999999999</v>
      </c>
      <c r="T76" s="415">
        <v>-0.1081</v>
      </c>
      <c r="U76" s="415">
        <v>5.5599999999999997E-2</v>
      </c>
      <c r="V76" s="415">
        <v>5.3999999999999999E-2</v>
      </c>
      <c r="W76" s="415">
        <v>5.04E-2</v>
      </c>
      <c r="X76" s="416">
        <v>4.8487999999999998</v>
      </c>
      <c r="Y76" s="418">
        <v>0.26529999999999998</v>
      </c>
      <c r="Z76" s="418">
        <v>0.2626</v>
      </c>
      <c r="AA76" s="418">
        <v>0.1638</v>
      </c>
      <c r="AB76" s="419">
        <v>-6806.1178</v>
      </c>
      <c r="AC76" s="419">
        <v>-1204.3126999999999</v>
      </c>
      <c r="AD76" s="419">
        <v>-962.36900000000003</v>
      </c>
      <c r="AE76" s="419">
        <v>-185.54939999999999</v>
      </c>
      <c r="AF76" s="420">
        <v>0.66279999999999994</v>
      </c>
      <c r="AG76" s="370"/>
    </row>
    <row r="77" spans="1:33">
      <c r="A77" s="370"/>
      <c r="B77" s="406">
        <f t="shared" si="2"/>
        <v>72</v>
      </c>
      <c r="C77" s="407">
        <v>0.16489999999999999</v>
      </c>
      <c r="D77" s="407">
        <v>2E-3</v>
      </c>
      <c r="E77" s="407">
        <v>-0.38690000000000002</v>
      </c>
      <c r="F77" s="407">
        <v>1.5299999999999999E-2</v>
      </c>
      <c r="G77" s="407">
        <v>-4.8999999999999998E-3</v>
      </c>
      <c r="H77" s="407">
        <v>-7.0000000000000001E-3</v>
      </c>
      <c r="I77" s="409">
        <v>9.9000000000000008E-3</v>
      </c>
      <c r="J77" s="407">
        <v>1E-3</v>
      </c>
      <c r="K77" s="410">
        <v>1.8209</v>
      </c>
      <c r="L77" s="422">
        <v>1.9E-2</v>
      </c>
      <c r="M77" s="412">
        <v>-5.1599999999999997E-3</v>
      </c>
      <c r="N77" s="413">
        <v>-4.0000000000000003E-5</v>
      </c>
      <c r="O77" s="414">
        <v>5.9809999999999999</v>
      </c>
      <c r="P77" s="415">
        <v>1.2117</v>
      </c>
      <c r="Q77" s="415">
        <v>0.62609999999999999</v>
      </c>
      <c r="R77" s="415">
        <v>0.20319999999999999</v>
      </c>
      <c r="S77" s="415">
        <v>-0.17610000000000001</v>
      </c>
      <c r="T77" s="415">
        <v>-0.1087</v>
      </c>
      <c r="U77" s="415">
        <v>5.5899999999999998E-2</v>
      </c>
      <c r="V77" s="415">
        <v>5.4300000000000001E-2</v>
      </c>
      <c r="W77" s="415">
        <v>5.0700000000000002E-2</v>
      </c>
      <c r="X77" s="416">
        <v>4.8772000000000002</v>
      </c>
      <c r="Y77" s="418">
        <v>0.26690000000000003</v>
      </c>
      <c r="Z77" s="418">
        <v>0.2641</v>
      </c>
      <c r="AA77" s="418">
        <v>0.1648</v>
      </c>
      <c r="AB77" s="419">
        <v>-6460.11</v>
      </c>
      <c r="AC77" s="419">
        <v>-1143.0881999999999</v>
      </c>
      <c r="AD77" s="419">
        <v>-913.4443</v>
      </c>
      <c r="AE77" s="419">
        <v>-176.1165</v>
      </c>
      <c r="AF77" s="420">
        <v>0.65449999999999997</v>
      </c>
      <c r="AG77" s="370"/>
    </row>
    <row r="78" spans="1:33">
      <c r="A78" s="370"/>
      <c r="B78" s="406">
        <f t="shared" si="2"/>
        <v>73</v>
      </c>
      <c r="C78" s="407">
        <v>0.1658</v>
      </c>
      <c r="D78" s="407">
        <v>2E-3</v>
      </c>
      <c r="E78" s="407">
        <v>-0.38900000000000001</v>
      </c>
      <c r="F78" s="407">
        <v>1.54E-2</v>
      </c>
      <c r="G78" s="407">
        <v>-4.8999999999999998E-3</v>
      </c>
      <c r="H78" s="407">
        <v>-7.1000000000000004E-3</v>
      </c>
      <c r="I78" s="409">
        <v>9.9000000000000008E-3</v>
      </c>
      <c r="J78" s="407">
        <v>1E-3</v>
      </c>
      <c r="K78" s="410">
        <v>1.8309</v>
      </c>
      <c r="L78" s="422">
        <v>1.9099999999999999E-2</v>
      </c>
      <c r="M78" s="412">
        <v>-4.8799999999999998E-3</v>
      </c>
      <c r="N78" s="413">
        <v>-4.0000000000000003E-5</v>
      </c>
      <c r="O78" s="414">
        <v>6.0140000000000002</v>
      </c>
      <c r="P78" s="415">
        <v>1.2183999999999999</v>
      </c>
      <c r="Q78" s="415">
        <v>0.62949999999999995</v>
      </c>
      <c r="R78" s="415">
        <v>0.20430000000000001</v>
      </c>
      <c r="S78" s="415">
        <v>-0.17699999999999999</v>
      </c>
      <c r="T78" s="415">
        <v>-0.10929999999999999</v>
      </c>
      <c r="U78" s="415">
        <v>5.62E-2</v>
      </c>
      <c r="V78" s="415">
        <v>5.4600000000000003E-2</v>
      </c>
      <c r="W78" s="415">
        <v>5.0999999999999997E-2</v>
      </c>
      <c r="X78" s="416">
        <v>4.9040999999999997</v>
      </c>
      <c r="Y78" s="418">
        <v>0.26829999999999998</v>
      </c>
      <c r="Z78" s="418">
        <v>0.2656</v>
      </c>
      <c r="AA78" s="418">
        <v>0.16569999999999999</v>
      </c>
      <c r="AB78" s="419">
        <v>-6112.1342999999997</v>
      </c>
      <c r="AC78" s="419">
        <v>-1081.5154</v>
      </c>
      <c r="AD78" s="419">
        <v>-864.2414</v>
      </c>
      <c r="AE78" s="419">
        <v>-166.62989999999999</v>
      </c>
      <c r="AF78" s="420">
        <v>0.6462</v>
      </c>
      <c r="AG78" s="370"/>
    </row>
    <row r="79" spans="1:33">
      <c r="A79" s="370"/>
      <c r="B79" s="406">
        <f t="shared" si="2"/>
        <v>74</v>
      </c>
      <c r="C79" s="407">
        <v>0.16669999999999999</v>
      </c>
      <c r="D79" s="407">
        <v>2E-3</v>
      </c>
      <c r="E79" s="407">
        <v>-0.39100000000000001</v>
      </c>
      <c r="F79" s="407">
        <v>1.55E-2</v>
      </c>
      <c r="G79" s="407">
        <v>-4.8999999999999998E-3</v>
      </c>
      <c r="H79" s="407">
        <v>-7.1000000000000004E-3</v>
      </c>
      <c r="I79" s="409">
        <v>0.01</v>
      </c>
      <c r="J79" s="407">
        <v>1E-3</v>
      </c>
      <c r="K79" s="410">
        <v>1.8404</v>
      </c>
      <c r="L79" s="422">
        <v>1.9199999999999998E-2</v>
      </c>
      <c r="M79" s="412">
        <v>-4.5999999999999999E-3</v>
      </c>
      <c r="N79" s="413">
        <v>-4.0000000000000003E-5</v>
      </c>
      <c r="O79" s="414">
        <v>6.0452000000000004</v>
      </c>
      <c r="P79" s="415">
        <v>1.2246999999999999</v>
      </c>
      <c r="Q79" s="415">
        <v>0.63280000000000003</v>
      </c>
      <c r="R79" s="415">
        <v>0.20530000000000001</v>
      </c>
      <c r="S79" s="415">
        <v>-0.1779</v>
      </c>
      <c r="T79" s="415">
        <v>-0.1099</v>
      </c>
      <c r="U79" s="415">
        <v>5.6500000000000002E-2</v>
      </c>
      <c r="V79" s="415">
        <v>5.4899999999999997E-2</v>
      </c>
      <c r="W79" s="415">
        <v>5.1299999999999998E-2</v>
      </c>
      <c r="X79" s="416">
        <v>4.9295</v>
      </c>
      <c r="Y79" s="418">
        <v>0.2697</v>
      </c>
      <c r="Z79" s="418">
        <v>0.26690000000000003</v>
      </c>
      <c r="AA79" s="418">
        <v>0.16650000000000001</v>
      </c>
      <c r="AB79" s="419">
        <v>-5762.2968000000001</v>
      </c>
      <c r="AC79" s="419">
        <v>-1019.6132</v>
      </c>
      <c r="AD79" s="419">
        <v>-814.77520000000004</v>
      </c>
      <c r="AE79" s="419">
        <v>-157.0926</v>
      </c>
      <c r="AF79" s="420">
        <v>0.63780000000000003</v>
      </c>
      <c r="AG79" s="370"/>
    </row>
    <row r="80" spans="1:33">
      <c r="A80" s="370"/>
      <c r="B80" s="406">
        <f t="shared" si="2"/>
        <v>75</v>
      </c>
      <c r="C80" s="407">
        <v>0.16750000000000001</v>
      </c>
      <c r="D80" s="407">
        <v>2E-3</v>
      </c>
      <c r="E80" s="407">
        <v>-0.39290000000000003</v>
      </c>
      <c r="F80" s="407">
        <v>1.5599999999999999E-2</v>
      </c>
      <c r="G80" s="407">
        <v>-4.8999999999999998E-3</v>
      </c>
      <c r="H80" s="407">
        <v>-7.1000000000000004E-3</v>
      </c>
      <c r="I80" s="409">
        <v>0.01</v>
      </c>
      <c r="J80" s="407">
        <v>1E-3</v>
      </c>
      <c r="K80" s="410">
        <v>1.8493999999999999</v>
      </c>
      <c r="L80" s="422">
        <v>1.9300000000000001E-2</v>
      </c>
      <c r="M80" s="412">
        <v>-4.3200000000000001E-3</v>
      </c>
      <c r="N80" s="413">
        <v>-4.0000000000000003E-5</v>
      </c>
      <c r="O80" s="414">
        <v>6.0744999999999996</v>
      </c>
      <c r="P80" s="415">
        <v>1.2305999999999999</v>
      </c>
      <c r="Q80" s="415">
        <v>0.63590000000000002</v>
      </c>
      <c r="R80" s="415">
        <v>0.20630000000000001</v>
      </c>
      <c r="S80" s="415">
        <v>-0.17879999999999999</v>
      </c>
      <c r="T80" s="415">
        <v>-0.1104</v>
      </c>
      <c r="U80" s="415">
        <v>5.6800000000000003E-2</v>
      </c>
      <c r="V80" s="415">
        <v>5.5100000000000003E-2</v>
      </c>
      <c r="W80" s="415">
        <v>5.1499999999999997E-2</v>
      </c>
      <c r="X80" s="416">
        <v>4.9535</v>
      </c>
      <c r="Y80" s="418">
        <v>0.27100000000000002</v>
      </c>
      <c r="Z80" s="418">
        <v>0.26819999999999999</v>
      </c>
      <c r="AA80" s="418">
        <v>0.1673</v>
      </c>
      <c r="AB80" s="419">
        <v>-5410.7039999999997</v>
      </c>
      <c r="AC80" s="419">
        <v>-957.40039999999999</v>
      </c>
      <c r="AD80" s="419">
        <v>-765.06079999999997</v>
      </c>
      <c r="AE80" s="419">
        <v>-147.50739999999999</v>
      </c>
      <c r="AF80" s="420">
        <v>0.62939999999999996</v>
      </c>
      <c r="AG80" s="370"/>
    </row>
    <row r="81" spans="1:33">
      <c r="A81" s="370"/>
      <c r="B81" s="406">
        <f t="shared" si="2"/>
        <v>76</v>
      </c>
      <c r="C81" s="407">
        <v>0.16819999999999999</v>
      </c>
      <c r="D81" s="407">
        <v>2E-3</v>
      </c>
      <c r="E81" s="407">
        <v>-0.3947</v>
      </c>
      <c r="F81" s="407">
        <v>1.5599999999999999E-2</v>
      </c>
      <c r="G81" s="407">
        <v>-4.8999999999999998E-3</v>
      </c>
      <c r="H81" s="407">
        <v>-7.1999999999999998E-3</v>
      </c>
      <c r="I81" s="409">
        <v>1.01E-2</v>
      </c>
      <c r="J81" s="407">
        <v>1E-3</v>
      </c>
      <c r="K81" s="410">
        <v>1.8576999999999999</v>
      </c>
      <c r="L81" s="422">
        <v>1.9400000000000001E-2</v>
      </c>
      <c r="M81" s="412">
        <v>-4.0400000000000002E-3</v>
      </c>
      <c r="N81" s="413">
        <v>-3.0000000000000001E-5</v>
      </c>
      <c r="O81" s="414">
        <v>6.1020000000000003</v>
      </c>
      <c r="P81" s="415">
        <v>1.2362</v>
      </c>
      <c r="Q81" s="415">
        <v>0.63880000000000003</v>
      </c>
      <c r="R81" s="415">
        <v>0.20730000000000001</v>
      </c>
      <c r="S81" s="415">
        <v>-0.17960000000000001</v>
      </c>
      <c r="T81" s="415">
        <v>-0.1109</v>
      </c>
      <c r="U81" s="415">
        <v>5.7000000000000002E-2</v>
      </c>
      <c r="V81" s="415">
        <v>5.5399999999999998E-2</v>
      </c>
      <c r="W81" s="415">
        <v>5.1700000000000003E-2</v>
      </c>
      <c r="X81" s="416">
        <v>4.9759000000000002</v>
      </c>
      <c r="Y81" s="418">
        <v>0.27229999999999999</v>
      </c>
      <c r="Z81" s="418">
        <v>0.26939999999999997</v>
      </c>
      <c r="AA81" s="418">
        <v>0.1681</v>
      </c>
      <c r="AB81" s="419">
        <v>-5057.4630999999999</v>
      </c>
      <c r="AC81" s="419">
        <v>-894.89589999999998</v>
      </c>
      <c r="AD81" s="419">
        <v>-715.11339999999996</v>
      </c>
      <c r="AE81" s="419">
        <v>-137.87729999999999</v>
      </c>
      <c r="AF81" s="420">
        <v>0.621</v>
      </c>
      <c r="AG81" s="370"/>
    </row>
    <row r="82" spans="1:33">
      <c r="A82" s="370"/>
      <c r="B82" s="406">
        <f t="shared" si="2"/>
        <v>77</v>
      </c>
      <c r="C82" s="407">
        <v>0.16900000000000001</v>
      </c>
      <c r="D82" s="407">
        <v>2E-3</v>
      </c>
      <c r="E82" s="407">
        <v>-0.39639999999999997</v>
      </c>
      <c r="F82" s="407">
        <v>1.5699999999999999E-2</v>
      </c>
      <c r="G82" s="407">
        <v>-5.0000000000000001E-3</v>
      </c>
      <c r="H82" s="407">
        <v>-7.1999999999999998E-3</v>
      </c>
      <c r="I82" s="409">
        <v>1.01E-2</v>
      </c>
      <c r="J82" s="407">
        <v>1E-3</v>
      </c>
      <c r="K82" s="410">
        <v>1.8654999999999999</v>
      </c>
      <c r="L82" s="422">
        <v>1.95E-2</v>
      </c>
      <c r="M82" s="412">
        <v>-3.7599999999999999E-3</v>
      </c>
      <c r="N82" s="413">
        <v>-3.0000000000000001E-5</v>
      </c>
      <c r="O82" s="414">
        <v>6.1276000000000002</v>
      </c>
      <c r="P82" s="415">
        <v>1.2414000000000001</v>
      </c>
      <c r="Q82" s="415">
        <v>0.64139999999999997</v>
      </c>
      <c r="R82" s="415">
        <v>0.20810000000000001</v>
      </c>
      <c r="S82" s="415">
        <v>-0.1804</v>
      </c>
      <c r="T82" s="415">
        <v>-0.1114</v>
      </c>
      <c r="U82" s="415">
        <v>5.7299999999999997E-2</v>
      </c>
      <c r="V82" s="415">
        <v>5.5599999999999997E-2</v>
      </c>
      <c r="W82" s="415">
        <v>5.1999999999999998E-2</v>
      </c>
      <c r="X82" s="416">
        <v>4.9968000000000004</v>
      </c>
      <c r="Y82" s="418">
        <v>0.27339999999999998</v>
      </c>
      <c r="Z82" s="418">
        <v>0.27060000000000001</v>
      </c>
      <c r="AA82" s="418">
        <v>0.16880000000000001</v>
      </c>
      <c r="AB82" s="419">
        <v>-4702.6815999999999</v>
      </c>
      <c r="AC82" s="419">
        <v>-832.11890000000005</v>
      </c>
      <c r="AD82" s="419">
        <v>-664.94809999999995</v>
      </c>
      <c r="AE82" s="419">
        <v>-128.20519999999999</v>
      </c>
      <c r="AF82" s="420">
        <v>0.61250000000000004</v>
      </c>
      <c r="AG82" s="370"/>
    </row>
    <row r="83" spans="1:33">
      <c r="A83" s="370"/>
      <c r="B83" s="406">
        <f t="shared" si="2"/>
        <v>78</v>
      </c>
      <c r="C83" s="407">
        <v>0.1696</v>
      </c>
      <c r="D83" s="407">
        <v>2.0999999999999999E-3</v>
      </c>
      <c r="E83" s="407">
        <v>-0.39789999999999998</v>
      </c>
      <c r="F83" s="407">
        <v>1.5699999999999999E-2</v>
      </c>
      <c r="G83" s="407">
        <v>-5.0000000000000001E-3</v>
      </c>
      <c r="H83" s="407">
        <v>-7.1999999999999998E-3</v>
      </c>
      <c r="I83" s="409">
        <v>1.0200000000000001E-2</v>
      </c>
      <c r="J83" s="407">
        <v>1E-3</v>
      </c>
      <c r="K83" s="410">
        <v>1.8728</v>
      </c>
      <c r="L83" s="422">
        <v>1.9599999999999999E-2</v>
      </c>
      <c r="M83" s="412">
        <v>-3.47E-3</v>
      </c>
      <c r="N83" s="413">
        <v>-3.0000000000000001E-5</v>
      </c>
      <c r="O83" s="414">
        <v>6.1513</v>
      </c>
      <c r="P83" s="415">
        <v>1.2462</v>
      </c>
      <c r="Q83" s="415">
        <v>0.64390000000000003</v>
      </c>
      <c r="R83" s="415">
        <v>0.2089</v>
      </c>
      <c r="S83" s="415">
        <v>-0.18110000000000001</v>
      </c>
      <c r="T83" s="415">
        <v>-0.1118</v>
      </c>
      <c r="U83" s="415">
        <v>5.7500000000000002E-2</v>
      </c>
      <c r="V83" s="415">
        <v>5.5800000000000002E-2</v>
      </c>
      <c r="W83" s="415">
        <v>5.2200000000000003E-2</v>
      </c>
      <c r="X83" s="416">
        <v>5.0160999999999998</v>
      </c>
      <c r="Y83" s="418">
        <v>0.27450000000000002</v>
      </c>
      <c r="Z83" s="418">
        <v>0.27160000000000001</v>
      </c>
      <c r="AA83" s="418">
        <v>0.16950000000000001</v>
      </c>
      <c r="AB83" s="419">
        <v>-4346.4677000000001</v>
      </c>
      <c r="AC83" s="419">
        <v>-769.08839999999998</v>
      </c>
      <c r="AD83" s="419">
        <v>-614.58029999999997</v>
      </c>
      <c r="AE83" s="419">
        <v>-118.4941</v>
      </c>
      <c r="AF83" s="420">
        <v>0.60399999999999998</v>
      </c>
      <c r="AG83" s="370"/>
    </row>
    <row r="84" spans="1:33">
      <c r="A84" s="370"/>
      <c r="B84" s="406">
        <f t="shared" si="2"/>
        <v>79</v>
      </c>
      <c r="C84" s="407">
        <v>0.17019999999999999</v>
      </c>
      <c r="D84" s="407">
        <v>2.0999999999999999E-3</v>
      </c>
      <c r="E84" s="407">
        <v>-0.39929999999999999</v>
      </c>
      <c r="F84" s="407">
        <v>1.5800000000000002E-2</v>
      </c>
      <c r="G84" s="407">
        <v>-5.0000000000000001E-3</v>
      </c>
      <c r="H84" s="407">
        <v>-7.3000000000000001E-3</v>
      </c>
      <c r="I84" s="409">
        <v>1.0200000000000001E-2</v>
      </c>
      <c r="J84" s="407">
        <v>1E-3</v>
      </c>
      <c r="K84" s="410">
        <v>1.8794</v>
      </c>
      <c r="L84" s="422">
        <v>1.9599999999999999E-2</v>
      </c>
      <c r="M84" s="412">
        <v>-3.1900000000000001E-3</v>
      </c>
      <c r="N84" s="413">
        <v>-3.0000000000000001E-5</v>
      </c>
      <c r="O84" s="414">
        <v>6.1731999999999996</v>
      </c>
      <c r="P84" s="415">
        <v>1.2505999999999999</v>
      </c>
      <c r="Q84" s="415">
        <v>0.6462</v>
      </c>
      <c r="R84" s="415">
        <v>0.2097</v>
      </c>
      <c r="S84" s="415">
        <v>-0.1817</v>
      </c>
      <c r="T84" s="415">
        <v>-0.11219999999999999</v>
      </c>
      <c r="U84" s="415">
        <v>5.7700000000000001E-2</v>
      </c>
      <c r="V84" s="415">
        <v>5.6000000000000001E-2</v>
      </c>
      <c r="W84" s="415">
        <v>5.2299999999999999E-2</v>
      </c>
      <c r="X84" s="416">
        <v>5.0339999999999998</v>
      </c>
      <c r="Y84" s="418">
        <v>0.27550000000000002</v>
      </c>
      <c r="Z84" s="418">
        <v>0.27260000000000001</v>
      </c>
      <c r="AA84" s="418">
        <v>0.1701</v>
      </c>
      <c r="AB84" s="419">
        <v>-3988.9297999999999</v>
      </c>
      <c r="AC84" s="419">
        <v>-705.82370000000003</v>
      </c>
      <c r="AD84" s="419">
        <v>-564.02530000000002</v>
      </c>
      <c r="AE84" s="419">
        <v>-108.74679999999999</v>
      </c>
      <c r="AF84" s="420">
        <v>0.59540000000000004</v>
      </c>
      <c r="AG84" s="370"/>
    </row>
    <row r="85" spans="1:33">
      <c r="A85" s="370"/>
      <c r="B85" s="406">
        <f t="shared" si="2"/>
        <v>80</v>
      </c>
      <c r="C85" s="407">
        <v>0.17080000000000001</v>
      </c>
      <c r="D85" s="407">
        <v>2.0999999999999999E-3</v>
      </c>
      <c r="E85" s="407">
        <v>-0.40060000000000001</v>
      </c>
      <c r="F85" s="407">
        <v>1.5900000000000001E-2</v>
      </c>
      <c r="G85" s="407">
        <v>-5.0000000000000001E-3</v>
      </c>
      <c r="H85" s="407">
        <v>-7.3000000000000001E-3</v>
      </c>
      <c r="I85" s="409">
        <v>1.0200000000000001E-2</v>
      </c>
      <c r="J85" s="407">
        <v>1E-3</v>
      </c>
      <c r="K85" s="410">
        <v>1.8855</v>
      </c>
      <c r="L85" s="422">
        <v>1.9699999999999999E-2</v>
      </c>
      <c r="M85" s="412">
        <v>-2.8999999999999998E-3</v>
      </c>
      <c r="N85" s="413">
        <v>-2.0000000000000002E-5</v>
      </c>
      <c r="O85" s="414">
        <v>6.1932</v>
      </c>
      <c r="P85" s="415">
        <v>1.2546999999999999</v>
      </c>
      <c r="Q85" s="415">
        <v>0.64829999999999999</v>
      </c>
      <c r="R85" s="415">
        <v>0.2104</v>
      </c>
      <c r="S85" s="415">
        <v>-0.18229999999999999</v>
      </c>
      <c r="T85" s="415">
        <v>-0.11260000000000001</v>
      </c>
      <c r="U85" s="415">
        <v>5.79E-2</v>
      </c>
      <c r="V85" s="415">
        <v>5.62E-2</v>
      </c>
      <c r="W85" s="415">
        <v>5.2499999999999998E-2</v>
      </c>
      <c r="X85" s="416">
        <v>5.0503</v>
      </c>
      <c r="Y85" s="418">
        <v>0.27629999999999999</v>
      </c>
      <c r="Z85" s="418">
        <v>0.27350000000000002</v>
      </c>
      <c r="AA85" s="418">
        <v>0.1706</v>
      </c>
      <c r="AB85" s="419">
        <v>-3630.1768000000002</v>
      </c>
      <c r="AC85" s="419">
        <v>-642.34389999999996</v>
      </c>
      <c r="AD85" s="419">
        <v>-513.29849999999999</v>
      </c>
      <c r="AE85" s="419">
        <v>-98.966399999999993</v>
      </c>
      <c r="AF85" s="420">
        <v>0.58679999999999999</v>
      </c>
      <c r="AG85" s="370"/>
    </row>
    <row r="86" spans="1:33">
      <c r="A86" s="370"/>
      <c r="B86" s="406">
        <f t="shared" si="2"/>
        <v>81</v>
      </c>
      <c r="C86" s="407">
        <v>0.17130000000000001</v>
      </c>
      <c r="D86" s="407">
        <v>2.0999999999999999E-3</v>
      </c>
      <c r="E86" s="407">
        <v>-0.40179999999999999</v>
      </c>
      <c r="F86" s="407">
        <v>1.5900000000000001E-2</v>
      </c>
      <c r="G86" s="407">
        <v>-5.0000000000000001E-3</v>
      </c>
      <c r="H86" s="407">
        <v>-7.3000000000000001E-3</v>
      </c>
      <c r="I86" s="409">
        <v>1.03E-2</v>
      </c>
      <c r="J86" s="407">
        <v>1E-3</v>
      </c>
      <c r="K86" s="410">
        <v>1.891</v>
      </c>
      <c r="L86" s="422">
        <v>1.9699999999999999E-2</v>
      </c>
      <c r="M86" s="412">
        <v>-2.6099999999999999E-3</v>
      </c>
      <c r="N86" s="413">
        <v>-2.0000000000000002E-5</v>
      </c>
      <c r="O86" s="414">
        <v>6.2112999999999996</v>
      </c>
      <c r="P86" s="415">
        <v>1.2583</v>
      </c>
      <c r="Q86" s="415">
        <v>0.6502</v>
      </c>
      <c r="R86" s="415">
        <v>0.21099999999999999</v>
      </c>
      <c r="S86" s="415">
        <v>-0.18279999999999999</v>
      </c>
      <c r="T86" s="415">
        <v>-0.1129</v>
      </c>
      <c r="U86" s="415">
        <v>5.8099999999999999E-2</v>
      </c>
      <c r="V86" s="415">
        <v>5.6399999999999999E-2</v>
      </c>
      <c r="W86" s="415">
        <v>5.2699999999999997E-2</v>
      </c>
      <c r="X86" s="416">
        <v>5.0651000000000002</v>
      </c>
      <c r="Y86" s="418">
        <v>0.2772</v>
      </c>
      <c r="Z86" s="418">
        <v>0.27429999999999999</v>
      </c>
      <c r="AA86" s="418">
        <v>0.1711</v>
      </c>
      <c r="AB86" s="419">
        <v>-3270.3180000000002</v>
      </c>
      <c r="AC86" s="419">
        <v>-578.66849999999999</v>
      </c>
      <c r="AD86" s="419">
        <v>-462.4153</v>
      </c>
      <c r="AE86" s="419">
        <v>-89.155900000000003</v>
      </c>
      <c r="AF86" s="420">
        <v>0.57820000000000005</v>
      </c>
      <c r="AG86" s="370"/>
    </row>
    <row r="87" spans="1:33">
      <c r="A87" s="370"/>
      <c r="B87" s="406">
        <f t="shared" si="2"/>
        <v>82</v>
      </c>
      <c r="C87" s="407">
        <v>0.17169999999999999</v>
      </c>
      <c r="D87" s="407">
        <v>2.0999999999999999E-3</v>
      </c>
      <c r="E87" s="407">
        <v>-0.40279999999999999</v>
      </c>
      <c r="F87" s="407">
        <v>1.5900000000000001E-2</v>
      </c>
      <c r="G87" s="407">
        <v>-5.1000000000000004E-3</v>
      </c>
      <c r="H87" s="407">
        <v>-7.3000000000000001E-3</v>
      </c>
      <c r="I87" s="409">
        <v>1.03E-2</v>
      </c>
      <c r="J87" s="407">
        <v>1E-3</v>
      </c>
      <c r="K87" s="410">
        <v>1.8959999999999999</v>
      </c>
      <c r="L87" s="422">
        <v>1.9800000000000002E-2</v>
      </c>
      <c r="M87" s="412">
        <v>-2.32E-3</v>
      </c>
      <c r="N87" s="413">
        <v>-2.0000000000000002E-5</v>
      </c>
      <c r="O87" s="414">
        <v>6.2275999999999998</v>
      </c>
      <c r="P87" s="415">
        <v>1.2616000000000001</v>
      </c>
      <c r="Q87" s="415">
        <v>0.65190000000000003</v>
      </c>
      <c r="R87" s="415">
        <v>0.21149999999999999</v>
      </c>
      <c r="S87" s="415">
        <v>-0.18329999999999999</v>
      </c>
      <c r="T87" s="415">
        <v>-0.1132</v>
      </c>
      <c r="U87" s="415">
        <v>5.8200000000000002E-2</v>
      </c>
      <c r="V87" s="415">
        <v>5.6500000000000002E-2</v>
      </c>
      <c r="W87" s="415">
        <v>5.28E-2</v>
      </c>
      <c r="X87" s="416">
        <v>5.0782999999999996</v>
      </c>
      <c r="Y87" s="418">
        <v>0.27789999999999998</v>
      </c>
      <c r="Z87" s="418">
        <v>0.27500000000000002</v>
      </c>
      <c r="AA87" s="418">
        <v>0.1716</v>
      </c>
      <c r="AB87" s="419">
        <v>-2909.4630999999999</v>
      </c>
      <c r="AC87" s="419">
        <v>-514.81669999999997</v>
      </c>
      <c r="AD87" s="419">
        <v>-411.39120000000003</v>
      </c>
      <c r="AE87" s="419">
        <v>-79.318200000000004</v>
      </c>
      <c r="AF87" s="420">
        <v>0.5696</v>
      </c>
      <c r="AG87" s="370"/>
    </row>
    <row r="88" spans="1:33">
      <c r="A88" s="370"/>
      <c r="B88" s="406">
        <f t="shared" si="2"/>
        <v>83</v>
      </c>
      <c r="C88" s="407">
        <v>0.1721</v>
      </c>
      <c r="D88" s="407">
        <v>2.0999999999999999E-3</v>
      </c>
      <c r="E88" s="407">
        <v>-0.40379999999999999</v>
      </c>
      <c r="F88" s="407">
        <v>1.6E-2</v>
      </c>
      <c r="G88" s="407">
        <v>-5.1000000000000004E-3</v>
      </c>
      <c r="H88" s="407">
        <v>-7.3000000000000001E-3</v>
      </c>
      <c r="I88" s="409">
        <v>1.03E-2</v>
      </c>
      <c r="J88" s="407">
        <v>1E-3</v>
      </c>
      <c r="K88" s="410">
        <v>1.9003000000000001</v>
      </c>
      <c r="L88" s="422">
        <v>1.9800000000000002E-2</v>
      </c>
      <c r="M88" s="412">
        <v>-2.0400000000000001E-3</v>
      </c>
      <c r="N88" s="413">
        <v>-2.0000000000000002E-5</v>
      </c>
      <c r="O88" s="414">
        <v>6.2419000000000002</v>
      </c>
      <c r="P88" s="415">
        <v>1.2645</v>
      </c>
      <c r="Q88" s="415">
        <v>0.65339999999999998</v>
      </c>
      <c r="R88" s="415">
        <v>0.21199999999999999</v>
      </c>
      <c r="S88" s="415">
        <v>-0.1837</v>
      </c>
      <c r="T88" s="415">
        <v>-0.1135</v>
      </c>
      <c r="U88" s="415">
        <v>5.8400000000000001E-2</v>
      </c>
      <c r="V88" s="415">
        <v>5.6599999999999998E-2</v>
      </c>
      <c r="W88" s="415">
        <v>5.2900000000000003E-2</v>
      </c>
      <c r="X88" s="416">
        <v>5.09</v>
      </c>
      <c r="Y88" s="418">
        <v>0.27850000000000003</v>
      </c>
      <c r="Z88" s="418">
        <v>0.27560000000000001</v>
      </c>
      <c r="AA88" s="418">
        <v>0.1719</v>
      </c>
      <c r="AB88" s="419">
        <v>-2547.7219</v>
      </c>
      <c r="AC88" s="419">
        <v>-450.8082</v>
      </c>
      <c r="AD88" s="419">
        <v>-360.24189999999999</v>
      </c>
      <c r="AE88" s="419">
        <v>-69.456400000000002</v>
      </c>
      <c r="AF88" s="420">
        <v>0.56089999999999995</v>
      </c>
      <c r="AG88" s="370"/>
    </row>
    <row r="89" spans="1:33">
      <c r="A89" s="370"/>
      <c r="B89" s="406">
        <f t="shared" si="2"/>
        <v>84</v>
      </c>
      <c r="C89" s="407">
        <v>0.17249999999999999</v>
      </c>
      <c r="D89" s="407">
        <v>2.0999999999999999E-3</v>
      </c>
      <c r="E89" s="407">
        <v>-0.40460000000000002</v>
      </c>
      <c r="F89" s="407">
        <v>1.6E-2</v>
      </c>
      <c r="G89" s="407">
        <v>-5.1000000000000004E-3</v>
      </c>
      <c r="H89" s="407">
        <v>-7.4000000000000003E-3</v>
      </c>
      <c r="I89" s="409">
        <v>1.03E-2</v>
      </c>
      <c r="J89" s="407">
        <v>1E-3</v>
      </c>
      <c r="K89" s="410">
        <v>1.9040999999999999</v>
      </c>
      <c r="L89" s="422">
        <v>1.9900000000000001E-2</v>
      </c>
      <c r="M89" s="412">
        <v>-1.75E-3</v>
      </c>
      <c r="N89" s="413">
        <v>-1.0000000000000001E-5</v>
      </c>
      <c r="O89" s="414">
        <v>6.2542999999999997</v>
      </c>
      <c r="P89" s="415">
        <v>1.2669999999999999</v>
      </c>
      <c r="Q89" s="415">
        <v>0.65469999999999995</v>
      </c>
      <c r="R89" s="415">
        <v>0.21240000000000001</v>
      </c>
      <c r="S89" s="415">
        <v>-0.18410000000000001</v>
      </c>
      <c r="T89" s="415">
        <v>-0.1137</v>
      </c>
      <c r="U89" s="415">
        <v>5.8500000000000003E-2</v>
      </c>
      <c r="V89" s="415">
        <v>5.6800000000000003E-2</v>
      </c>
      <c r="W89" s="415">
        <v>5.2999999999999999E-2</v>
      </c>
      <c r="X89" s="416">
        <v>5.1001000000000003</v>
      </c>
      <c r="Y89" s="418">
        <v>0.27910000000000001</v>
      </c>
      <c r="Z89" s="418">
        <v>0.2762</v>
      </c>
      <c r="AA89" s="418">
        <v>0.17230000000000001</v>
      </c>
      <c r="AB89" s="419">
        <v>-2185.2046</v>
      </c>
      <c r="AC89" s="419">
        <v>-386.66239999999999</v>
      </c>
      <c r="AD89" s="419">
        <v>-308.9828</v>
      </c>
      <c r="AE89" s="419">
        <v>-59.573399999999999</v>
      </c>
      <c r="AF89" s="420">
        <v>0.55230000000000001</v>
      </c>
      <c r="AG89" s="370"/>
    </row>
    <row r="90" spans="1:33">
      <c r="A90" s="370"/>
      <c r="B90" s="406">
        <f t="shared" si="2"/>
        <v>85</v>
      </c>
      <c r="C90" s="407">
        <v>0.17269999999999999</v>
      </c>
      <c r="D90" s="407">
        <v>2.0999999999999999E-3</v>
      </c>
      <c r="E90" s="407">
        <v>-0.40529999999999999</v>
      </c>
      <c r="F90" s="407">
        <v>1.6E-2</v>
      </c>
      <c r="G90" s="407">
        <v>-5.1000000000000004E-3</v>
      </c>
      <c r="H90" s="407">
        <v>-7.4000000000000003E-3</v>
      </c>
      <c r="I90" s="409">
        <v>1.04E-2</v>
      </c>
      <c r="J90" s="407">
        <v>1E-3</v>
      </c>
      <c r="K90" s="410">
        <v>1.9073</v>
      </c>
      <c r="L90" s="422">
        <v>1.9900000000000001E-2</v>
      </c>
      <c r="M90" s="412">
        <v>-1.4599999999999999E-3</v>
      </c>
      <c r="N90" s="413">
        <v>-1.0000000000000001E-5</v>
      </c>
      <c r="O90" s="414">
        <v>6.2648000000000001</v>
      </c>
      <c r="P90" s="415">
        <v>1.2692000000000001</v>
      </c>
      <c r="Q90" s="415">
        <v>0.65580000000000005</v>
      </c>
      <c r="R90" s="415">
        <v>0.21279999999999999</v>
      </c>
      <c r="S90" s="415">
        <v>-0.18440000000000001</v>
      </c>
      <c r="T90" s="415">
        <v>-0.1139</v>
      </c>
      <c r="U90" s="415">
        <v>5.8599999999999999E-2</v>
      </c>
      <c r="V90" s="415">
        <v>5.6800000000000003E-2</v>
      </c>
      <c r="W90" s="415">
        <v>5.3100000000000001E-2</v>
      </c>
      <c r="X90" s="416">
        <v>5.1086999999999998</v>
      </c>
      <c r="Y90" s="418">
        <v>0.27950000000000003</v>
      </c>
      <c r="Z90" s="418">
        <v>0.27660000000000001</v>
      </c>
      <c r="AA90" s="418">
        <v>0.1726</v>
      </c>
      <c r="AB90" s="419">
        <v>-1822.0217</v>
      </c>
      <c r="AC90" s="419">
        <v>-322.39879999999999</v>
      </c>
      <c r="AD90" s="419">
        <v>-257.62959999999998</v>
      </c>
      <c r="AE90" s="419">
        <v>-49.672199999999997</v>
      </c>
      <c r="AF90" s="420">
        <v>0.54359999999999997</v>
      </c>
      <c r="AG90" s="370"/>
    </row>
    <row r="91" spans="1:33">
      <c r="A91" s="370"/>
      <c r="B91" s="406">
        <f t="shared" si="2"/>
        <v>86</v>
      </c>
      <c r="C91" s="407">
        <v>0.17299999999999999</v>
      </c>
      <c r="D91" s="407">
        <v>2.0999999999999999E-3</v>
      </c>
      <c r="E91" s="407">
        <v>-0.40579999999999999</v>
      </c>
      <c r="F91" s="407">
        <v>1.61E-2</v>
      </c>
      <c r="G91" s="407">
        <v>-5.1000000000000004E-3</v>
      </c>
      <c r="H91" s="407">
        <v>-7.4000000000000003E-3</v>
      </c>
      <c r="I91" s="409">
        <v>1.04E-2</v>
      </c>
      <c r="J91" s="407">
        <v>1E-3</v>
      </c>
      <c r="K91" s="410">
        <v>1.9098999999999999</v>
      </c>
      <c r="L91" s="422">
        <v>1.9900000000000001E-2</v>
      </c>
      <c r="M91" s="412">
        <v>-1.16E-3</v>
      </c>
      <c r="N91" s="413">
        <v>-1.0000000000000001E-5</v>
      </c>
      <c r="O91" s="414">
        <v>6.2735000000000003</v>
      </c>
      <c r="P91" s="415">
        <v>1.2708999999999999</v>
      </c>
      <c r="Q91" s="415">
        <v>0.65669999999999995</v>
      </c>
      <c r="R91" s="415">
        <v>0.21310000000000001</v>
      </c>
      <c r="S91" s="415">
        <v>-0.1847</v>
      </c>
      <c r="T91" s="415">
        <v>-0.11409999999999999</v>
      </c>
      <c r="U91" s="415">
        <v>5.8599999999999999E-2</v>
      </c>
      <c r="V91" s="415">
        <v>5.6899999999999999E-2</v>
      </c>
      <c r="W91" s="415">
        <v>5.3199999999999997E-2</v>
      </c>
      <c r="X91" s="416">
        <v>5.1157000000000004</v>
      </c>
      <c r="Y91" s="418">
        <v>0.27989999999999998</v>
      </c>
      <c r="Z91" s="418">
        <v>0.27700000000000002</v>
      </c>
      <c r="AA91" s="418">
        <v>0.17280000000000001</v>
      </c>
      <c r="AB91" s="419">
        <v>-1458.2837999999999</v>
      </c>
      <c r="AC91" s="419">
        <v>-258.0369</v>
      </c>
      <c r="AD91" s="419">
        <v>-206.1979</v>
      </c>
      <c r="AE91" s="419">
        <v>-39.756</v>
      </c>
      <c r="AF91" s="420">
        <v>0.53490000000000004</v>
      </c>
      <c r="AG91" s="370"/>
    </row>
    <row r="92" spans="1:33">
      <c r="A92" s="370"/>
      <c r="B92" s="406">
        <f t="shared" si="2"/>
        <v>87</v>
      </c>
      <c r="C92" s="407">
        <v>0.17319999999999999</v>
      </c>
      <c r="D92" s="407">
        <v>2.0999999999999999E-3</v>
      </c>
      <c r="E92" s="407">
        <v>-0.40620000000000001</v>
      </c>
      <c r="F92" s="407">
        <v>1.61E-2</v>
      </c>
      <c r="G92" s="407">
        <v>-5.1000000000000004E-3</v>
      </c>
      <c r="H92" s="407">
        <v>-7.4000000000000003E-3</v>
      </c>
      <c r="I92" s="409">
        <v>1.04E-2</v>
      </c>
      <c r="J92" s="407">
        <v>1E-3</v>
      </c>
      <c r="K92" s="410">
        <v>1.9119999999999999</v>
      </c>
      <c r="L92" s="422">
        <v>0.02</v>
      </c>
      <c r="M92" s="412">
        <v>-8.7000000000000001E-4</v>
      </c>
      <c r="N92" s="413">
        <v>-1.0000000000000001E-5</v>
      </c>
      <c r="O92" s="414">
        <v>6.2801999999999998</v>
      </c>
      <c r="P92" s="415">
        <v>1.2723</v>
      </c>
      <c r="Q92" s="415">
        <v>0.65739999999999998</v>
      </c>
      <c r="R92" s="415">
        <v>0.21329999999999999</v>
      </c>
      <c r="S92" s="415">
        <v>-0.18490000000000001</v>
      </c>
      <c r="T92" s="415">
        <v>-0.1142</v>
      </c>
      <c r="U92" s="415">
        <v>5.8700000000000002E-2</v>
      </c>
      <c r="V92" s="415">
        <v>5.7000000000000002E-2</v>
      </c>
      <c r="W92" s="415">
        <v>5.3199999999999997E-2</v>
      </c>
      <c r="X92" s="416">
        <v>5.1212</v>
      </c>
      <c r="Y92" s="418">
        <v>0.2802</v>
      </c>
      <c r="Z92" s="418">
        <v>0.27729999999999999</v>
      </c>
      <c r="AA92" s="418">
        <v>0.17299999999999999</v>
      </c>
      <c r="AB92" s="419">
        <v>-1094.1016999999999</v>
      </c>
      <c r="AC92" s="419">
        <v>-193.59649999999999</v>
      </c>
      <c r="AD92" s="419">
        <v>-154.70339999999999</v>
      </c>
      <c r="AE92" s="419">
        <v>-29.8276</v>
      </c>
      <c r="AF92" s="420">
        <v>0.5262</v>
      </c>
      <c r="AG92" s="370"/>
    </row>
    <row r="93" spans="1:33">
      <c r="A93" s="370"/>
      <c r="B93" s="406">
        <f t="shared" si="2"/>
        <v>88</v>
      </c>
      <c r="C93" s="407">
        <v>0.17330000000000001</v>
      </c>
      <c r="D93" s="407">
        <v>2.0999999999999999E-3</v>
      </c>
      <c r="E93" s="407">
        <v>-0.40660000000000002</v>
      </c>
      <c r="F93" s="407">
        <v>1.61E-2</v>
      </c>
      <c r="G93" s="407">
        <v>-5.1000000000000004E-3</v>
      </c>
      <c r="H93" s="407">
        <v>-7.4000000000000003E-3</v>
      </c>
      <c r="I93" s="409">
        <v>1.04E-2</v>
      </c>
      <c r="J93" s="407">
        <v>1E-3</v>
      </c>
      <c r="K93" s="410">
        <v>1.9134</v>
      </c>
      <c r="L93" s="422">
        <v>0.02</v>
      </c>
      <c r="M93" s="412">
        <v>-5.8E-4</v>
      </c>
      <c r="N93" s="413">
        <v>0</v>
      </c>
      <c r="O93" s="414">
        <v>6.2849000000000004</v>
      </c>
      <c r="P93" s="415">
        <v>1.2733000000000001</v>
      </c>
      <c r="Q93" s="415">
        <v>0.65790000000000004</v>
      </c>
      <c r="R93" s="415">
        <v>0.2135</v>
      </c>
      <c r="S93" s="415">
        <v>-0.185</v>
      </c>
      <c r="T93" s="415">
        <v>-0.1143</v>
      </c>
      <c r="U93" s="415">
        <v>5.8799999999999998E-2</v>
      </c>
      <c r="V93" s="415">
        <v>5.7000000000000002E-2</v>
      </c>
      <c r="W93" s="415">
        <v>5.33E-2</v>
      </c>
      <c r="X93" s="416">
        <v>5.1250999999999998</v>
      </c>
      <c r="Y93" s="418">
        <v>0.28039999999999998</v>
      </c>
      <c r="Z93" s="418">
        <v>0.27750000000000002</v>
      </c>
      <c r="AA93" s="418">
        <v>0.1731</v>
      </c>
      <c r="AB93" s="419">
        <v>-729.58640000000003</v>
      </c>
      <c r="AC93" s="419">
        <v>-129.09710000000001</v>
      </c>
      <c r="AD93" s="419">
        <v>-103.1618</v>
      </c>
      <c r="AE93" s="419">
        <v>-19.8901</v>
      </c>
      <c r="AF93" s="420">
        <v>0.51739999999999997</v>
      </c>
      <c r="AG93" s="370"/>
    </row>
    <row r="94" spans="1:33">
      <c r="A94" s="370"/>
      <c r="B94" s="406">
        <f t="shared" si="2"/>
        <v>89</v>
      </c>
      <c r="C94" s="407">
        <v>0.1734</v>
      </c>
      <c r="D94" s="407">
        <v>2.0999999999999999E-3</v>
      </c>
      <c r="E94" s="407">
        <v>-0.40670000000000001</v>
      </c>
      <c r="F94" s="407">
        <v>1.61E-2</v>
      </c>
      <c r="G94" s="407">
        <v>-5.1000000000000004E-3</v>
      </c>
      <c r="H94" s="407">
        <v>-7.4000000000000003E-3</v>
      </c>
      <c r="I94" s="409">
        <v>1.04E-2</v>
      </c>
      <c r="J94" s="407">
        <v>1E-3</v>
      </c>
      <c r="K94" s="410">
        <v>1.9142999999999999</v>
      </c>
      <c r="L94" s="422">
        <v>0.02</v>
      </c>
      <c r="M94" s="412">
        <v>-2.9E-4</v>
      </c>
      <c r="N94" s="413">
        <v>0</v>
      </c>
      <c r="O94" s="414">
        <v>6.2877999999999998</v>
      </c>
      <c r="P94" s="415">
        <v>1.2738</v>
      </c>
      <c r="Q94" s="415">
        <v>0.65820000000000001</v>
      </c>
      <c r="R94" s="415">
        <v>0.21360000000000001</v>
      </c>
      <c r="S94" s="415">
        <v>-0.18509999999999999</v>
      </c>
      <c r="T94" s="415">
        <v>-0.1143</v>
      </c>
      <c r="U94" s="415">
        <v>5.8799999999999998E-2</v>
      </c>
      <c r="V94" s="415">
        <v>5.7099999999999998E-2</v>
      </c>
      <c r="W94" s="415">
        <v>5.33E-2</v>
      </c>
      <c r="X94" s="416">
        <v>5.1273999999999997</v>
      </c>
      <c r="Y94" s="418">
        <v>0.28060000000000002</v>
      </c>
      <c r="Z94" s="418">
        <v>0.2777</v>
      </c>
      <c r="AA94" s="418">
        <v>0.17319999999999999</v>
      </c>
      <c r="AB94" s="419">
        <v>-364.84879999999998</v>
      </c>
      <c r="AC94" s="419">
        <v>-64.558400000000006</v>
      </c>
      <c r="AD94" s="419">
        <v>-51.588799999999999</v>
      </c>
      <c r="AE94" s="419">
        <v>-9.9466000000000001</v>
      </c>
      <c r="AF94" s="420">
        <v>0.50870000000000004</v>
      </c>
      <c r="AG94" s="370"/>
    </row>
    <row r="95" spans="1:33">
      <c r="A95" s="370"/>
      <c r="B95" s="406">
        <f t="shared" si="2"/>
        <v>90</v>
      </c>
      <c r="C95" s="407">
        <v>0.1734</v>
      </c>
      <c r="D95" s="407">
        <v>2.0999999999999999E-3</v>
      </c>
      <c r="E95" s="407">
        <v>-0.40679999999999999</v>
      </c>
      <c r="F95" s="407">
        <v>1.61E-2</v>
      </c>
      <c r="G95" s="407">
        <v>-5.1000000000000004E-3</v>
      </c>
      <c r="H95" s="407">
        <v>-7.4000000000000003E-3</v>
      </c>
      <c r="I95" s="409">
        <v>1.04E-2</v>
      </c>
      <c r="J95" s="407">
        <v>1E-3</v>
      </c>
      <c r="K95" s="410">
        <v>1.9146000000000001</v>
      </c>
      <c r="L95" s="422">
        <v>0.02</v>
      </c>
      <c r="M95" s="412">
        <v>0</v>
      </c>
      <c r="N95" s="413">
        <v>0</v>
      </c>
      <c r="O95" s="414">
        <v>6.2888000000000002</v>
      </c>
      <c r="P95" s="415">
        <v>1.274</v>
      </c>
      <c r="Q95" s="415">
        <v>0.6583</v>
      </c>
      <c r="R95" s="415">
        <v>0.21360000000000001</v>
      </c>
      <c r="S95" s="415">
        <v>-0.18509999999999999</v>
      </c>
      <c r="T95" s="415">
        <v>-0.1143</v>
      </c>
      <c r="U95" s="415">
        <v>5.8799999999999998E-2</v>
      </c>
      <c r="V95" s="415">
        <v>5.7099999999999998E-2</v>
      </c>
      <c r="W95" s="415">
        <v>5.33E-2</v>
      </c>
      <c r="X95" s="416">
        <v>5.1281999999999996</v>
      </c>
      <c r="Y95" s="418">
        <v>0.28060000000000002</v>
      </c>
      <c r="Z95" s="418">
        <v>0.2777</v>
      </c>
      <c r="AA95" s="418">
        <v>0.17319999999999999</v>
      </c>
      <c r="AB95" s="419">
        <v>0</v>
      </c>
      <c r="AC95" s="419">
        <v>0</v>
      </c>
      <c r="AD95" s="419">
        <v>0</v>
      </c>
      <c r="AE95" s="419">
        <v>0</v>
      </c>
      <c r="AF95" s="420">
        <v>0.5</v>
      </c>
      <c r="AG95" s="370"/>
    </row>
    <row r="96" spans="1:33">
      <c r="A96" s="370"/>
      <c r="B96" s="406">
        <f t="shared" si="2"/>
        <v>91</v>
      </c>
      <c r="C96" s="407">
        <v>0.1734</v>
      </c>
      <c r="D96" s="407">
        <v>2.0999999999999999E-3</v>
      </c>
      <c r="E96" s="407">
        <v>-0.40670000000000001</v>
      </c>
      <c r="F96" s="407">
        <v>1.61E-2</v>
      </c>
      <c r="G96" s="407">
        <v>-5.1000000000000004E-3</v>
      </c>
      <c r="H96" s="408">
        <v>-7.4000000000000003E-3</v>
      </c>
      <c r="I96" s="409">
        <v>1.04E-2</v>
      </c>
      <c r="J96" s="407">
        <v>1E-3</v>
      </c>
      <c r="K96" s="410">
        <v>1.9142999999999999</v>
      </c>
      <c r="L96" s="411">
        <v>0.02</v>
      </c>
      <c r="M96" s="412">
        <v>2.9E-4</v>
      </c>
      <c r="N96" s="423">
        <v>0</v>
      </c>
      <c r="O96" s="414">
        <v>6.2877999999999998</v>
      </c>
      <c r="P96" s="415">
        <v>1.2738</v>
      </c>
      <c r="Q96" s="424">
        <v>0.65820000000000001</v>
      </c>
      <c r="R96" s="415">
        <v>0.21360000000000001</v>
      </c>
      <c r="S96" s="415">
        <v>-0.18509999999999999</v>
      </c>
      <c r="T96" s="415">
        <v>-0.1143</v>
      </c>
      <c r="U96" s="415">
        <v>5.8799999999999998E-2</v>
      </c>
      <c r="V96" s="415">
        <v>5.7099999999999998E-2</v>
      </c>
      <c r="W96" s="415">
        <v>5.33E-2</v>
      </c>
      <c r="X96" s="416">
        <v>5.1273999999999997</v>
      </c>
      <c r="Y96" s="417">
        <v>0.28060000000000002</v>
      </c>
      <c r="Z96" s="418">
        <v>0.2777</v>
      </c>
      <c r="AA96" s="418">
        <v>0.17319999999999999</v>
      </c>
      <c r="AB96" s="419">
        <v>364.84879999999998</v>
      </c>
      <c r="AC96" s="419">
        <v>64.558400000000006</v>
      </c>
      <c r="AD96" s="419">
        <v>51.588799999999999</v>
      </c>
      <c r="AE96" s="419">
        <v>9.9466000000000001</v>
      </c>
      <c r="AF96" s="420">
        <v>0.49130000000000001</v>
      </c>
      <c r="AG96" s="370"/>
    </row>
    <row r="97" spans="1:33">
      <c r="A97" s="370"/>
      <c r="B97" s="406">
        <f t="shared" si="2"/>
        <v>92</v>
      </c>
      <c r="C97" s="407">
        <v>0.17330000000000001</v>
      </c>
      <c r="D97" s="407">
        <v>2.0999999999999999E-3</v>
      </c>
      <c r="E97" s="407">
        <v>-0.40660000000000002</v>
      </c>
      <c r="F97" s="407">
        <v>1.61E-2</v>
      </c>
      <c r="G97" s="407">
        <v>-5.1000000000000004E-3</v>
      </c>
      <c r="H97" s="407">
        <v>-7.4000000000000003E-3</v>
      </c>
      <c r="I97" s="409">
        <v>1.04E-2</v>
      </c>
      <c r="J97" s="407">
        <v>1E-3</v>
      </c>
      <c r="K97" s="410">
        <v>1.9134</v>
      </c>
      <c r="L97" s="411">
        <v>0.02</v>
      </c>
      <c r="M97" s="412">
        <v>5.8E-4</v>
      </c>
      <c r="N97" s="423">
        <v>0</v>
      </c>
      <c r="O97" s="414">
        <v>6.2849000000000004</v>
      </c>
      <c r="P97" s="415">
        <v>1.2733000000000001</v>
      </c>
      <c r="Q97" s="415">
        <v>0.65790000000000004</v>
      </c>
      <c r="R97" s="415">
        <v>0.2135</v>
      </c>
      <c r="S97" s="415">
        <v>-0.185</v>
      </c>
      <c r="T97" s="415">
        <v>-0.1143</v>
      </c>
      <c r="U97" s="415">
        <v>5.8799999999999998E-2</v>
      </c>
      <c r="V97" s="415">
        <v>5.7000000000000002E-2</v>
      </c>
      <c r="W97" s="415">
        <v>5.33E-2</v>
      </c>
      <c r="X97" s="416">
        <v>5.1250999999999998</v>
      </c>
      <c r="Y97" s="417">
        <v>0.28039999999999998</v>
      </c>
      <c r="Z97" s="418">
        <v>0.27750000000000002</v>
      </c>
      <c r="AA97" s="418">
        <v>0.1731</v>
      </c>
      <c r="AB97" s="419">
        <v>729.58640000000003</v>
      </c>
      <c r="AC97" s="419">
        <v>129.09710000000001</v>
      </c>
      <c r="AD97" s="419">
        <v>103.1618</v>
      </c>
      <c r="AE97" s="419">
        <v>19.8901</v>
      </c>
      <c r="AF97" s="420">
        <v>0.48259999999999997</v>
      </c>
      <c r="AG97" s="370"/>
    </row>
    <row r="98" spans="1:33">
      <c r="A98" s="370"/>
      <c r="B98" s="406">
        <f t="shared" si="2"/>
        <v>93</v>
      </c>
      <c r="C98" s="407">
        <v>0.17319999999999999</v>
      </c>
      <c r="D98" s="407">
        <v>2.0999999999999999E-3</v>
      </c>
      <c r="E98" s="407">
        <v>-0.40620000000000001</v>
      </c>
      <c r="F98" s="407">
        <v>1.61E-2</v>
      </c>
      <c r="G98" s="407">
        <v>-5.1000000000000004E-3</v>
      </c>
      <c r="H98" s="407">
        <v>-7.4000000000000003E-3</v>
      </c>
      <c r="I98" s="409">
        <v>1.04E-2</v>
      </c>
      <c r="J98" s="407">
        <v>1E-3</v>
      </c>
      <c r="K98" s="410">
        <v>1.9119999999999999</v>
      </c>
      <c r="L98" s="422">
        <v>0.02</v>
      </c>
      <c r="M98" s="412">
        <v>8.7000000000000001E-4</v>
      </c>
      <c r="N98" s="413">
        <v>1.0000000000000001E-5</v>
      </c>
      <c r="O98" s="414">
        <v>6.2801999999999998</v>
      </c>
      <c r="P98" s="415">
        <v>1.2723</v>
      </c>
      <c r="Q98" s="415">
        <v>0.65739999999999998</v>
      </c>
      <c r="R98" s="415">
        <v>0.21329999999999999</v>
      </c>
      <c r="S98" s="415">
        <v>-0.18490000000000001</v>
      </c>
      <c r="T98" s="415">
        <v>-0.1142</v>
      </c>
      <c r="U98" s="415">
        <v>5.8700000000000002E-2</v>
      </c>
      <c r="V98" s="415">
        <v>5.7000000000000002E-2</v>
      </c>
      <c r="W98" s="415">
        <v>5.3199999999999997E-2</v>
      </c>
      <c r="X98" s="416">
        <v>5.1212</v>
      </c>
      <c r="Y98" s="418">
        <v>0.2802</v>
      </c>
      <c r="Z98" s="418">
        <v>0.27729999999999999</v>
      </c>
      <c r="AA98" s="418">
        <v>0.17299999999999999</v>
      </c>
      <c r="AB98" s="419">
        <v>1094.1016999999999</v>
      </c>
      <c r="AC98" s="419">
        <v>193.59649999999999</v>
      </c>
      <c r="AD98" s="419">
        <v>154.70339999999999</v>
      </c>
      <c r="AE98" s="419">
        <v>29.8276</v>
      </c>
      <c r="AF98" s="420">
        <v>0.4738</v>
      </c>
      <c r="AG98" s="370"/>
    </row>
    <row r="99" spans="1:33">
      <c r="A99" s="370"/>
      <c r="B99" s="406">
        <f t="shared" si="2"/>
        <v>94</v>
      </c>
      <c r="C99" s="407">
        <v>0.17299999999999999</v>
      </c>
      <c r="D99" s="407">
        <v>2.0999999999999999E-3</v>
      </c>
      <c r="E99" s="407">
        <v>-0.40579999999999999</v>
      </c>
      <c r="F99" s="407">
        <v>1.61E-2</v>
      </c>
      <c r="G99" s="407">
        <v>-5.1000000000000004E-3</v>
      </c>
      <c r="H99" s="407">
        <v>-7.4000000000000003E-3</v>
      </c>
      <c r="I99" s="409">
        <v>1.04E-2</v>
      </c>
      <c r="J99" s="407">
        <v>1E-3</v>
      </c>
      <c r="K99" s="410">
        <v>1.9098999999999999</v>
      </c>
      <c r="L99" s="422">
        <v>1.9900000000000001E-2</v>
      </c>
      <c r="M99" s="412">
        <v>1.16E-3</v>
      </c>
      <c r="N99" s="413">
        <v>1.0000000000000001E-5</v>
      </c>
      <c r="O99" s="414">
        <v>6.2735000000000003</v>
      </c>
      <c r="P99" s="415">
        <v>1.2708999999999999</v>
      </c>
      <c r="Q99" s="415">
        <v>0.65669999999999995</v>
      </c>
      <c r="R99" s="415">
        <v>0.21310000000000001</v>
      </c>
      <c r="S99" s="415">
        <v>-0.1847</v>
      </c>
      <c r="T99" s="415">
        <v>-0.11409999999999999</v>
      </c>
      <c r="U99" s="415">
        <v>5.8599999999999999E-2</v>
      </c>
      <c r="V99" s="415">
        <v>5.6899999999999999E-2</v>
      </c>
      <c r="W99" s="415">
        <v>5.3199999999999997E-2</v>
      </c>
      <c r="X99" s="416">
        <v>5.1157000000000004</v>
      </c>
      <c r="Y99" s="418">
        <v>0.27989999999999998</v>
      </c>
      <c r="Z99" s="418">
        <v>0.27700000000000002</v>
      </c>
      <c r="AA99" s="418">
        <v>0.17280000000000001</v>
      </c>
      <c r="AB99" s="419">
        <v>1458.2837999999999</v>
      </c>
      <c r="AC99" s="419">
        <v>258.0369</v>
      </c>
      <c r="AD99" s="419">
        <v>206.1979</v>
      </c>
      <c r="AE99" s="419">
        <v>39.756</v>
      </c>
      <c r="AF99" s="420">
        <v>0.46510000000000001</v>
      </c>
      <c r="AG99" s="370"/>
    </row>
    <row r="100" spans="1:33">
      <c r="A100" s="370"/>
      <c r="B100" s="406">
        <f t="shared" si="2"/>
        <v>95</v>
      </c>
      <c r="C100" s="407">
        <v>0.17269999999999999</v>
      </c>
      <c r="D100" s="407">
        <v>2.0999999999999999E-3</v>
      </c>
      <c r="E100" s="407">
        <v>-0.40529999999999999</v>
      </c>
      <c r="F100" s="407">
        <v>1.6E-2</v>
      </c>
      <c r="G100" s="407">
        <v>-5.1000000000000004E-3</v>
      </c>
      <c r="H100" s="407">
        <v>-7.4000000000000003E-3</v>
      </c>
      <c r="I100" s="409">
        <v>1.04E-2</v>
      </c>
      <c r="J100" s="407">
        <v>1E-3</v>
      </c>
      <c r="K100" s="410">
        <v>1.9073</v>
      </c>
      <c r="L100" s="422">
        <v>1.9900000000000001E-2</v>
      </c>
      <c r="M100" s="412">
        <v>1.4599999999999999E-3</v>
      </c>
      <c r="N100" s="413">
        <v>1.0000000000000001E-5</v>
      </c>
      <c r="O100" s="414">
        <v>6.2648000000000001</v>
      </c>
      <c r="P100" s="415">
        <v>1.2692000000000001</v>
      </c>
      <c r="Q100" s="415">
        <v>0.65580000000000005</v>
      </c>
      <c r="R100" s="415">
        <v>0.21279999999999999</v>
      </c>
      <c r="S100" s="415">
        <v>-0.18440000000000001</v>
      </c>
      <c r="T100" s="415">
        <v>-0.1139</v>
      </c>
      <c r="U100" s="415">
        <v>5.8599999999999999E-2</v>
      </c>
      <c r="V100" s="415">
        <v>5.6800000000000003E-2</v>
      </c>
      <c r="W100" s="415">
        <v>5.3100000000000001E-2</v>
      </c>
      <c r="X100" s="416">
        <v>5.1086999999999998</v>
      </c>
      <c r="Y100" s="418">
        <v>0.27950000000000003</v>
      </c>
      <c r="Z100" s="418">
        <v>0.27660000000000001</v>
      </c>
      <c r="AA100" s="418">
        <v>0.1726</v>
      </c>
      <c r="AB100" s="419">
        <v>1822.0217</v>
      </c>
      <c r="AC100" s="419">
        <v>322.39879999999999</v>
      </c>
      <c r="AD100" s="419">
        <v>257.62959999999998</v>
      </c>
      <c r="AE100" s="419">
        <v>49.672199999999997</v>
      </c>
      <c r="AF100" s="420">
        <v>0.45639999999999997</v>
      </c>
      <c r="AG100" s="370"/>
    </row>
    <row r="101" spans="1:33">
      <c r="A101" s="370"/>
      <c r="B101" s="406">
        <f t="shared" si="2"/>
        <v>96</v>
      </c>
      <c r="C101" s="407">
        <v>0.17249999999999999</v>
      </c>
      <c r="D101" s="407">
        <v>2.0999999999999999E-3</v>
      </c>
      <c r="E101" s="407">
        <v>-0.40460000000000002</v>
      </c>
      <c r="F101" s="407">
        <v>1.6E-2</v>
      </c>
      <c r="G101" s="407">
        <v>-5.1000000000000004E-3</v>
      </c>
      <c r="H101" s="407">
        <v>-7.4000000000000003E-3</v>
      </c>
      <c r="I101" s="409">
        <v>1.03E-2</v>
      </c>
      <c r="J101" s="407">
        <v>1E-3</v>
      </c>
      <c r="K101" s="410">
        <v>1.9040999999999999</v>
      </c>
      <c r="L101" s="422">
        <v>1.9900000000000001E-2</v>
      </c>
      <c r="M101" s="412">
        <v>1.75E-3</v>
      </c>
      <c r="N101" s="413">
        <v>1.0000000000000001E-5</v>
      </c>
      <c r="O101" s="414">
        <v>6.2542999999999997</v>
      </c>
      <c r="P101" s="415">
        <v>1.2669999999999999</v>
      </c>
      <c r="Q101" s="415">
        <v>0.65469999999999995</v>
      </c>
      <c r="R101" s="415">
        <v>0.21240000000000001</v>
      </c>
      <c r="S101" s="415">
        <v>-0.18410000000000001</v>
      </c>
      <c r="T101" s="415">
        <v>-0.1137</v>
      </c>
      <c r="U101" s="415">
        <v>5.8500000000000003E-2</v>
      </c>
      <c r="V101" s="415">
        <v>5.6800000000000003E-2</v>
      </c>
      <c r="W101" s="415">
        <v>5.2999999999999999E-2</v>
      </c>
      <c r="X101" s="416">
        <v>5.1001000000000003</v>
      </c>
      <c r="Y101" s="418">
        <v>0.27910000000000001</v>
      </c>
      <c r="Z101" s="418">
        <v>0.2762</v>
      </c>
      <c r="AA101" s="418">
        <v>0.17230000000000001</v>
      </c>
      <c r="AB101" s="419">
        <v>2185.2046</v>
      </c>
      <c r="AC101" s="419">
        <v>386.66239999999999</v>
      </c>
      <c r="AD101" s="419">
        <v>308.9828</v>
      </c>
      <c r="AE101" s="419">
        <v>59.573399999999999</v>
      </c>
      <c r="AF101" s="420">
        <v>0.44769999999999999</v>
      </c>
      <c r="AG101" s="370"/>
    </row>
    <row r="102" spans="1:33">
      <c r="A102" s="370"/>
      <c r="B102" s="406">
        <f t="shared" si="2"/>
        <v>97</v>
      </c>
      <c r="C102" s="407">
        <v>0.1721</v>
      </c>
      <c r="D102" s="407">
        <v>2.0999999999999999E-3</v>
      </c>
      <c r="E102" s="407">
        <v>-0.40379999999999999</v>
      </c>
      <c r="F102" s="407">
        <v>1.6E-2</v>
      </c>
      <c r="G102" s="407">
        <v>-5.1000000000000004E-3</v>
      </c>
      <c r="H102" s="407">
        <v>-7.3000000000000001E-3</v>
      </c>
      <c r="I102" s="409">
        <v>1.03E-2</v>
      </c>
      <c r="J102" s="407">
        <v>1E-3</v>
      </c>
      <c r="K102" s="410">
        <v>1.9003000000000001</v>
      </c>
      <c r="L102" s="422">
        <v>1.9800000000000002E-2</v>
      </c>
      <c r="M102" s="412">
        <v>2.0400000000000001E-3</v>
      </c>
      <c r="N102" s="413">
        <v>2.0000000000000002E-5</v>
      </c>
      <c r="O102" s="414">
        <v>6.2419000000000002</v>
      </c>
      <c r="P102" s="415">
        <v>1.2645</v>
      </c>
      <c r="Q102" s="415">
        <v>0.65339999999999998</v>
      </c>
      <c r="R102" s="415">
        <v>0.21199999999999999</v>
      </c>
      <c r="S102" s="415">
        <v>-0.1837</v>
      </c>
      <c r="T102" s="415">
        <v>-0.1135</v>
      </c>
      <c r="U102" s="415">
        <v>5.8400000000000001E-2</v>
      </c>
      <c r="V102" s="415">
        <v>5.6599999999999998E-2</v>
      </c>
      <c r="W102" s="415">
        <v>5.2900000000000003E-2</v>
      </c>
      <c r="X102" s="416">
        <v>5.09</v>
      </c>
      <c r="Y102" s="418">
        <v>0.27850000000000003</v>
      </c>
      <c r="Z102" s="418">
        <v>0.27560000000000001</v>
      </c>
      <c r="AA102" s="418">
        <v>0.1719</v>
      </c>
      <c r="AB102" s="419">
        <v>2547.7219</v>
      </c>
      <c r="AC102" s="419">
        <v>450.8082</v>
      </c>
      <c r="AD102" s="419">
        <v>360.24189999999999</v>
      </c>
      <c r="AE102" s="419">
        <v>69.456400000000002</v>
      </c>
      <c r="AF102" s="420">
        <v>0.43909999999999999</v>
      </c>
      <c r="AG102" s="370"/>
    </row>
    <row r="103" spans="1:33">
      <c r="A103" s="370"/>
      <c r="B103" s="406">
        <f t="shared" si="2"/>
        <v>98</v>
      </c>
      <c r="C103" s="407">
        <v>0.17169999999999999</v>
      </c>
      <c r="D103" s="407">
        <v>2.0999999999999999E-3</v>
      </c>
      <c r="E103" s="407">
        <v>-0.40279999999999999</v>
      </c>
      <c r="F103" s="407">
        <v>1.5900000000000001E-2</v>
      </c>
      <c r="G103" s="407">
        <v>-5.1000000000000004E-3</v>
      </c>
      <c r="H103" s="407">
        <v>-7.3000000000000001E-3</v>
      </c>
      <c r="I103" s="409">
        <v>1.03E-2</v>
      </c>
      <c r="J103" s="407">
        <v>1E-3</v>
      </c>
      <c r="K103" s="410">
        <v>1.8959999999999999</v>
      </c>
      <c r="L103" s="422">
        <v>1.9800000000000002E-2</v>
      </c>
      <c r="M103" s="412">
        <v>2.32E-3</v>
      </c>
      <c r="N103" s="413">
        <v>2.0000000000000002E-5</v>
      </c>
      <c r="O103" s="414">
        <v>6.2275999999999998</v>
      </c>
      <c r="P103" s="415">
        <v>1.2616000000000001</v>
      </c>
      <c r="Q103" s="415">
        <v>0.65190000000000003</v>
      </c>
      <c r="R103" s="415">
        <v>0.21149999999999999</v>
      </c>
      <c r="S103" s="415">
        <v>-0.18329999999999999</v>
      </c>
      <c r="T103" s="415">
        <v>-0.1132</v>
      </c>
      <c r="U103" s="415">
        <v>5.8200000000000002E-2</v>
      </c>
      <c r="V103" s="415">
        <v>5.6500000000000002E-2</v>
      </c>
      <c r="W103" s="415">
        <v>5.28E-2</v>
      </c>
      <c r="X103" s="416">
        <v>5.0782999999999996</v>
      </c>
      <c r="Y103" s="418">
        <v>0.27789999999999998</v>
      </c>
      <c r="Z103" s="418">
        <v>0.27500000000000002</v>
      </c>
      <c r="AA103" s="418">
        <v>0.1716</v>
      </c>
      <c r="AB103" s="419">
        <v>2909.4630999999999</v>
      </c>
      <c r="AC103" s="419">
        <v>514.81669999999997</v>
      </c>
      <c r="AD103" s="419">
        <v>411.39120000000003</v>
      </c>
      <c r="AE103" s="419">
        <v>79.318200000000004</v>
      </c>
      <c r="AF103" s="420">
        <v>0.4304</v>
      </c>
      <c r="AG103" s="370"/>
    </row>
    <row r="104" spans="1:33">
      <c r="A104" s="370"/>
      <c r="B104" s="406">
        <f t="shared" si="2"/>
        <v>99</v>
      </c>
      <c r="C104" s="407">
        <v>0.17130000000000001</v>
      </c>
      <c r="D104" s="407">
        <v>2.0999999999999999E-3</v>
      </c>
      <c r="E104" s="407">
        <v>-0.40179999999999999</v>
      </c>
      <c r="F104" s="407">
        <v>1.5900000000000001E-2</v>
      </c>
      <c r="G104" s="407">
        <v>-5.0000000000000001E-3</v>
      </c>
      <c r="H104" s="407">
        <v>-7.3000000000000001E-3</v>
      </c>
      <c r="I104" s="409">
        <v>1.03E-2</v>
      </c>
      <c r="J104" s="407">
        <v>1E-3</v>
      </c>
      <c r="K104" s="410">
        <v>1.891</v>
      </c>
      <c r="L104" s="422">
        <v>1.9699999999999999E-2</v>
      </c>
      <c r="M104" s="412">
        <v>2.6099999999999999E-3</v>
      </c>
      <c r="N104" s="413">
        <v>2.0000000000000002E-5</v>
      </c>
      <c r="O104" s="414">
        <v>6.2112999999999996</v>
      </c>
      <c r="P104" s="415">
        <v>1.2583</v>
      </c>
      <c r="Q104" s="415">
        <v>0.6502</v>
      </c>
      <c r="R104" s="415">
        <v>0.21099999999999999</v>
      </c>
      <c r="S104" s="415">
        <v>-0.18279999999999999</v>
      </c>
      <c r="T104" s="415">
        <v>-0.1129</v>
      </c>
      <c r="U104" s="415">
        <v>5.8099999999999999E-2</v>
      </c>
      <c r="V104" s="415">
        <v>5.6399999999999999E-2</v>
      </c>
      <c r="W104" s="415">
        <v>5.2699999999999997E-2</v>
      </c>
      <c r="X104" s="416">
        <v>5.0651000000000002</v>
      </c>
      <c r="Y104" s="418">
        <v>0.2772</v>
      </c>
      <c r="Z104" s="418">
        <v>0.27429999999999999</v>
      </c>
      <c r="AA104" s="418">
        <v>0.1711</v>
      </c>
      <c r="AB104" s="419">
        <v>3270.3180000000002</v>
      </c>
      <c r="AC104" s="419">
        <v>578.66849999999999</v>
      </c>
      <c r="AD104" s="419">
        <v>462.4153</v>
      </c>
      <c r="AE104" s="419">
        <v>89.155900000000003</v>
      </c>
      <c r="AF104" s="420">
        <v>0.42180000000000001</v>
      </c>
      <c r="AG104" s="370"/>
    </row>
    <row r="105" spans="1:33">
      <c r="A105" s="370"/>
      <c r="B105" s="406">
        <f t="shared" si="2"/>
        <v>100</v>
      </c>
      <c r="C105" s="407">
        <v>0.17080000000000001</v>
      </c>
      <c r="D105" s="407">
        <v>2.0999999999999999E-3</v>
      </c>
      <c r="E105" s="407">
        <v>-0.40060000000000001</v>
      </c>
      <c r="F105" s="407">
        <v>1.5900000000000001E-2</v>
      </c>
      <c r="G105" s="407">
        <v>-5.0000000000000001E-3</v>
      </c>
      <c r="H105" s="407">
        <v>-7.3000000000000001E-3</v>
      </c>
      <c r="I105" s="409">
        <v>1.0200000000000001E-2</v>
      </c>
      <c r="J105" s="407">
        <v>1E-3</v>
      </c>
      <c r="K105" s="410">
        <v>1.8855</v>
      </c>
      <c r="L105" s="422">
        <v>1.9699999999999999E-2</v>
      </c>
      <c r="M105" s="412">
        <v>2.8999999999999998E-3</v>
      </c>
      <c r="N105" s="413">
        <v>2.0000000000000002E-5</v>
      </c>
      <c r="O105" s="414">
        <v>6.1932</v>
      </c>
      <c r="P105" s="415">
        <v>1.2546999999999999</v>
      </c>
      <c r="Q105" s="415">
        <v>0.64829999999999999</v>
      </c>
      <c r="R105" s="415">
        <v>0.2104</v>
      </c>
      <c r="S105" s="415">
        <v>-0.18229999999999999</v>
      </c>
      <c r="T105" s="415">
        <v>-0.11260000000000001</v>
      </c>
      <c r="U105" s="415">
        <v>5.79E-2</v>
      </c>
      <c r="V105" s="415">
        <v>5.62E-2</v>
      </c>
      <c r="W105" s="415">
        <v>5.2499999999999998E-2</v>
      </c>
      <c r="X105" s="416">
        <v>5.0503</v>
      </c>
      <c r="Y105" s="418">
        <v>0.27629999999999999</v>
      </c>
      <c r="Z105" s="418">
        <v>0.27350000000000002</v>
      </c>
      <c r="AA105" s="418">
        <v>0.1706</v>
      </c>
      <c r="AB105" s="419">
        <v>3630.1768000000002</v>
      </c>
      <c r="AC105" s="419">
        <v>642.34389999999996</v>
      </c>
      <c r="AD105" s="419">
        <v>513.29849999999999</v>
      </c>
      <c r="AE105" s="419">
        <v>98.966399999999993</v>
      </c>
      <c r="AF105" s="420">
        <v>0.41320000000000001</v>
      </c>
      <c r="AG105" s="370"/>
    </row>
    <row r="106" spans="1:33">
      <c r="A106" s="370"/>
      <c r="B106" s="406">
        <f t="shared" si="2"/>
        <v>101</v>
      </c>
      <c r="C106" s="407">
        <v>0.17019999999999999</v>
      </c>
      <c r="D106" s="407">
        <v>2.0999999999999999E-3</v>
      </c>
      <c r="E106" s="407">
        <v>-0.39929999999999999</v>
      </c>
      <c r="F106" s="407">
        <v>1.5800000000000002E-2</v>
      </c>
      <c r="G106" s="407">
        <v>-5.0000000000000001E-3</v>
      </c>
      <c r="H106" s="407">
        <v>-7.3000000000000001E-3</v>
      </c>
      <c r="I106" s="409">
        <v>1.0200000000000001E-2</v>
      </c>
      <c r="J106" s="407">
        <v>1E-3</v>
      </c>
      <c r="K106" s="410">
        <v>1.8794</v>
      </c>
      <c r="L106" s="422">
        <v>1.9599999999999999E-2</v>
      </c>
      <c r="M106" s="412">
        <v>3.1900000000000001E-3</v>
      </c>
      <c r="N106" s="413">
        <v>3.0000000000000001E-5</v>
      </c>
      <c r="O106" s="414">
        <v>6.1731999999999996</v>
      </c>
      <c r="P106" s="415">
        <v>1.2505999999999999</v>
      </c>
      <c r="Q106" s="415">
        <v>0.6462</v>
      </c>
      <c r="R106" s="415">
        <v>0.2097</v>
      </c>
      <c r="S106" s="415">
        <v>-0.1817</v>
      </c>
      <c r="T106" s="415">
        <v>-0.11219999999999999</v>
      </c>
      <c r="U106" s="415">
        <v>5.7700000000000001E-2</v>
      </c>
      <c r="V106" s="415">
        <v>5.6000000000000001E-2</v>
      </c>
      <c r="W106" s="415">
        <v>5.2299999999999999E-2</v>
      </c>
      <c r="X106" s="416">
        <v>5.0339999999999998</v>
      </c>
      <c r="Y106" s="418">
        <v>0.27550000000000002</v>
      </c>
      <c r="Z106" s="418">
        <v>0.27260000000000001</v>
      </c>
      <c r="AA106" s="418">
        <v>0.1701</v>
      </c>
      <c r="AB106" s="419">
        <v>3988.9297999999999</v>
      </c>
      <c r="AC106" s="419">
        <v>705.82370000000003</v>
      </c>
      <c r="AD106" s="419">
        <v>564.02530000000002</v>
      </c>
      <c r="AE106" s="419">
        <v>108.74679999999999</v>
      </c>
      <c r="AF106" s="420">
        <v>0.40460000000000002</v>
      </c>
      <c r="AG106" s="370"/>
    </row>
    <row r="107" spans="1:33">
      <c r="A107" s="370"/>
      <c r="B107" s="406">
        <f t="shared" si="2"/>
        <v>102</v>
      </c>
      <c r="C107" s="407">
        <v>0.1696</v>
      </c>
      <c r="D107" s="407">
        <v>2.0999999999999999E-3</v>
      </c>
      <c r="E107" s="407">
        <v>-0.39789999999999998</v>
      </c>
      <c r="F107" s="407">
        <v>1.5699999999999999E-2</v>
      </c>
      <c r="G107" s="407">
        <v>-5.0000000000000001E-3</v>
      </c>
      <c r="H107" s="407">
        <v>-7.1999999999999998E-3</v>
      </c>
      <c r="I107" s="409">
        <v>1.0200000000000001E-2</v>
      </c>
      <c r="J107" s="407">
        <v>1E-3</v>
      </c>
      <c r="K107" s="410">
        <v>1.8728</v>
      </c>
      <c r="L107" s="422">
        <v>1.9599999999999999E-2</v>
      </c>
      <c r="M107" s="412">
        <v>3.47E-3</v>
      </c>
      <c r="N107" s="413">
        <v>3.0000000000000001E-5</v>
      </c>
      <c r="O107" s="414">
        <v>6.1513</v>
      </c>
      <c r="P107" s="415">
        <v>1.2462</v>
      </c>
      <c r="Q107" s="415">
        <v>0.64390000000000003</v>
      </c>
      <c r="R107" s="415">
        <v>0.2089</v>
      </c>
      <c r="S107" s="415">
        <v>-0.18110000000000001</v>
      </c>
      <c r="T107" s="415">
        <v>-0.1118</v>
      </c>
      <c r="U107" s="415">
        <v>5.7500000000000002E-2</v>
      </c>
      <c r="V107" s="415">
        <v>5.5800000000000002E-2</v>
      </c>
      <c r="W107" s="415">
        <v>5.2200000000000003E-2</v>
      </c>
      <c r="X107" s="416">
        <v>5.0160999999999998</v>
      </c>
      <c r="Y107" s="418">
        <v>0.27450000000000002</v>
      </c>
      <c r="Z107" s="418">
        <v>0.27160000000000001</v>
      </c>
      <c r="AA107" s="418">
        <v>0.16950000000000001</v>
      </c>
      <c r="AB107" s="419">
        <v>4346.4677000000001</v>
      </c>
      <c r="AC107" s="419">
        <v>769.08839999999998</v>
      </c>
      <c r="AD107" s="419">
        <v>614.58029999999997</v>
      </c>
      <c r="AE107" s="419">
        <v>118.4941</v>
      </c>
      <c r="AF107" s="420">
        <v>0.39600000000000002</v>
      </c>
      <c r="AG107" s="370"/>
    </row>
    <row r="108" spans="1:33">
      <c r="A108" s="370"/>
      <c r="B108" s="406">
        <f t="shared" si="2"/>
        <v>103</v>
      </c>
      <c r="C108" s="407">
        <v>0.16900000000000001</v>
      </c>
      <c r="D108" s="407">
        <v>2E-3</v>
      </c>
      <c r="E108" s="407">
        <v>-0.39639999999999997</v>
      </c>
      <c r="F108" s="407">
        <v>1.5699999999999999E-2</v>
      </c>
      <c r="G108" s="407">
        <v>-5.0000000000000001E-3</v>
      </c>
      <c r="H108" s="407">
        <v>-7.1999999999999998E-3</v>
      </c>
      <c r="I108" s="409">
        <v>1.01E-2</v>
      </c>
      <c r="J108" s="407">
        <v>1E-3</v>
      </c>
      <c r="K108" s="410">
        <v>1.8654999999999999</v>
      </c>
      <c r="L108" s="422">
        <v>1.95E-2</v>
      </c>
      <c r="M108" s="412">
        <v>3.7599999999999999E-3</v>
      </c>
      <c r="N108" s="413">
        <v>3.0000000000000001E-5</v>
      </c>
      <c r="O108" s="414">
        <v>6.1276000000000002</v>
      </c>
      <c r="P108" s="415">
        <v>1.2414000000000001</v>
      </c>
      <c r="Q108" s="415">
        <v>0.64139999999999997</v>
      </c>
      <c r="R108" s="415">
        <v>0.20810000000000001</v>
      </c>
      <c r="S108" s="415">
        <v>-0.1804</v>
      </c>
      <c r="T108" s="415">
        <v>-0.1114</v>
      </c>
      <c r="U108" s="415">
        <v>5.7299999999999997E-2</v>
      </c>
      <c r="V108" s="415">
        <v>5.5599999999999997E-2</v>
      </c>
      <c r="W108" s="415">
        <v>5.1999999999999998E-2</v>
      </c>
      <c r="X108" s="416">
        <v>4.9968000000000004</v>
      </c>
      <c r="Y108" s="418">
        <v>0.27339999999999998</v>
      </c>
      <c r="Z108" s="418">
        <v>0.27060000000000001</v>
      </c>
      <c r="AA108" s="418">
        <v>0.16880000000000001</v>
      </c>
      <c r="AB108" s="419">
        <v>4702.6815999999999</v>
      </c>
      <c r="AC108" s="419">
        <v>832.11890000000005</v>
      </c>
      <c r="AD108" s="419">
        <v>664.94809999999995</v>
      </c>
      <c r="AE108" s="419">
        <v>128.20519999999999</v>
      </c>
      <c r="AF108" s="420">
        <v>0.38750000000000001</v>
      </c>
      <c r="AG108" s="370"/>
    </row>
    <row r="109" spans="1:33">
      <c r="A109" s="370"/>
      <c r="B109" s="406">
        <f t="shared" si="2"/>
        <v>104</v>
      </c>
      <c r="C109" s="407">
        <v>0.16819999999999999</v>
      </c>
      <c r="D109" s="407">
        <v>2E-3</v>
      </c>
      <c r="E109" s="407">
        <v>-0.3947</v>
      </c>
      <c r="F109" s="407">
        <v>1.5599999999999999E-2</v>
      </c>
      <c r="G109" s="407">
        <v>-4.8999999999999998E-3</v>
      </c>
      <c r="H109" s="407">
        <v>-7.1999999999999998E-3</v>
      </c>
      <c r="I109" s="409">
        <v>1.01E-2</v>
      </c>
      <c r="J109" s="407">
        <v>1E-3</v>
      </c>
      <c r="K109" s="410">
        <v>1.8576999999999999</v>
      </c>
      <c r="L109" s="422">
        <v>1.9400000000000001E-2</v>
      </c>
      <c r="M109" s="412">
        <v>4.0400000000000002E-3</v>
      </c>
      <c r="N109" s="413">
        <v>3.0000000000000001E-5</v>
      </c>
      <c r="O109" s="414">
        <v>6.1020000000000003</v>
      </c>
      <c r="P109" s="415">
        <v>1.2362</v>
      </c>
      <c r="Q109" s="415">
        <v>0.63880000000000003</v>
      </c>
      <c r="R109" s="415">
        <v>0.20730000000000001</v>
      </c>
      <c r="S109" s="415">
        <v>-0.17960000000000001</v>
      </c>
      <c r="T109" s="415">
        <v>-0.1109</v>
      </c>
      <c r="U109" s="415">
        <v>5.7000000000000002E-2</v>
      </c>
      <c r="V109" s="415">
        <v>5.5399999999999998E-2</v>
      </c>
      <c r="W109" s="415">
        <v>5.1700000000000003E-2</v>
      </c>
      <c r="X109" s="416">
        <v>4.9759000000000002</v>
      </c>
      <c r="Y109" s="418">
        <v>0.27229999999999999</v>
      </c>
      <c r="Z109" s="418">
        <v>0.26939999999999997</v>
      </c>
      <c r="AA109" s="418">
        <v>0.1681</v>
      </c>
      <c r="AB109" s="419">
        <v>5057.4630999999999</v>
      </c>
      <c r="AC109" s="419">
        <v>894.89589999999998</v>
      </c>
      <c r="AD109" s="419">
        <v>715.11339999999996</v>
      </c>
      <c r="AE109" s="419">
        <v>137.87729999999999</v>
      </c>
      <c r="AF109" s="420">
        <v>0.379</v>
      </c>
      <c r="AG109" s="370"/>
    </row>
    <row r="110" spans="1:33">
      <c r="A110" s="370"/>
      <c r="B110" s="406">
        <f t="shared" si="2"/>
        <v>105</v>
      </c>
      <c r="C110" s="407">
        <v>0.16750000000000001</v>
      </c>
      <c r="D110" s="407">
        <v>2E-3</v>
      </c>
      <c r="E110" s="407">
        <v>-0.39290000000000003</v>
      </c>
      <c r="F110" s="407">
        <v>1.5599999999999999E-2</v>
      </c>
      <c r="G110" s="407">
        <v>-4.8999999999999998E-3</v>
      </c>
      <c r="H110" s="407">
        <v>-7.1000000000000004E-3</v>
      </c>
      <c r="I110" s="409">
        <v>0.01</v>
      </c>
      <c r="J110" s="407">
        <v>1E-3</v>
      </c>
      <c r="K110" s="410">
        <v>1.8493999999999999</v>
      </c>
      <c r="L110" s="422">
        <v>1.9300000000000001E-2</v>
      </c>
      <c r="M110" s="412">
        <v>4.3200000000000001E-3</v>
      </c>
      <c r="N110" s="413">
        <v>4.0000000000000003E-5</v>
      </c>
      <c r="O110" s="414">
        <v>6.0744999999999996</v>
      </c>
      <c r="P110" s="415">
        <v>1.2305999999999999</v>
      </c>
      <c r="Q110" s="415">
        <v>0.63590000000000002</v>
      </c>
      <c r="R110" s="415">
        <v>0.20630000000000001</v>
      </c>
      <c r="S110" s="415">
        <v>-0.17879999999999999</v>
      </c>
      <c r="T110" s="415">
        <v>-0.1104</v>
      </c>
      <c r="U110" s="415">
        <v>5.6800000000000003E-2</v>
      </c>
      <c r="V110" s="415">
        <v>5.5100000000000003E-2</v>
      </c>
      <c r="W110" s="415">
        <v>5.1499999999999997E-2</v>
      </c>
      <c r="X110" s="416">
        <v>4.9535</v>
      </c>
      <c r="Y110" s="418">
        <v>0.27100000000000002</v>
      </c>
      <c r="Z110" s="418">
        <v>0.26819999999999999</v>
      </c>
      <c r="AA110" s="418">
        <v>0.1673</v>
      </c>
      <c r="AB110" s="419">
        <v>5410.7039999999997</v>
      </c>
      <c r="AC110" s="419">
        <v>957.40039999999999</v>
      </c>
      <c r="AD110" s="419">
        <v>765.06079999999997</v>
      </c>
      <c r="AE110" s="419">
        <v>147.50739999999999</v>
      </c>
      <c r="AF110" s="420">
        <v>0.37059999999999998</v>
      </c>
      <c r="AG110" s="370"/>
    </row>
    <row r="111" spans="1:33">
      <c r="A111" s="370"/>
      <c r="B111" s="406">
        <f t="shared" si="2"/>
        <v>106</v>
      </c>
      <c r="C111" s="407">
        <v>0.16669999999999999</v>
      </c>
      <c r="D111" s="407">
        <v>2E-3</v>
      </c>
      <c r="E111" s="407">
        <v>-0.39100000000000001</v>
      </c>
      <c r="F111" s="407">
        <v>1.55E-2</v>
      </c>
      <c r="G111" s="407">
        <v>-4.8999999999999998E-3</v>
      </c>
      <c r="H111" s="407">
        <v>-7.1000000000000004E-3</v>
      </c>
      <c r="I111" s="409">
        <v>0.01</v>
      </c>
      <c r="J111" s="407">
        <v>1E-3</v>
      </c>
      <c r="K111" s="410">
        <v>1.8404</v>
      </c>
      <c r="L111" s="422">
        <v>1.9199999999999998E-2</v>
      </c>
      <c r="M111" s="412">
        <v>4.5999999999999999E-3</v>
      </c>
      <c r="N111" s="413">
        <v>4.0000000000000003E-5</v>
      </c>
      <c r="O111" s="414">
        <v>6.0452000000000004</v>
      </c>
      <c r="P111" s="415">
        <v>1.2246999999999999</v>
      </c>
      <c r="Q111" s="415">
        <v>0.63280000000000003</v>
      </c>
      <c r="R111" s="415">
        <v>0.20530000000000001</v>
      </c>
      <c r="S111" s="415">
        <v>-0.1779</v>
      </c>
      <c r="T111" s="415">
        <v>-0.1099</v>
      </c>
      <c r="U111" s="415">
        <v>5.6500000000000002E-2</v>
      </c>
      <c r="V111" s="415">
        <v>5.4899999999999997E-2</v>
      </c>
      <c r="W111" s="415">
        <v>5.1299999999999998E-2</v>
      </c>
      <c r="X111" s="416">
        <v>4.9295</v>
      </c>
      <c r="Y111" s="418">
        <v>0.2697</v>
      </c>
      <c r="Z111" s="418">
        <v>0.26690000000000003</v>
      </c>
      <c r="AA111" s="418">
        <v>0.16650000000000001</v>
      </c>
      <c r="AB111" s="419">
        <v>5762.2968000000001</v>
      </c>
      <c r="AC111" s="419">
        <v>1019.6132</v>
      </c>
      <c r="AD111" s="419">
        <v>814.77520000000004</v>
      </c>
      <c r="AE111" s="419">
        <v>157.0926</v>
      </c>
      <c r="AF111" s="420">
        <v>0.36220000000000002</v>
      </c>
      <c r="AG111" s="370"/>
    </row>
    <row r="112" spans="1:33">
      <c r="A112" s="370"/>
      <c r="B112" s="406">
        <f t="shared" si="2"/>
        <v>107</v>
      </c>
      <c r="C112" s="407">
        <v>0.1658</v>
      </c>
      <c r="D112" s="407">
        <v>2E-3</v>
      </c>
      <c r="E112" s="407">
        <v>-0.38900000000000001</v>
      </c>
      <c r="F112" s="407">
        <v>1.54E-2</v>
      </c>
      <c r="G112" s="407">
        <v>-4.8999999999999998E-3</v>
      </c>
      <c r="H112" s="407">
        <v>-7.1000000000000004E-3</v>
      </c>
      <c r="I112" s="409">
        <v>9.9000000000000008E-3</v>
      </c>
      <c r="J112" s="407">
        <v>1E-3</v>
      </c>
      <c r="K112" s="410">
        <v>1.8309</v>
      </c>
      <c r="L112" s="422">
        <v>1.9099999999999999E-2</v>
      </c>
      <c r="M112" s="412">
        <v>4.8799999999999998E-3</v>
      </c>
      <c r="N112" s="413">
        <v>4.0000000000000003E-5</v>
      </c>
      <c r="O112" s="414">
        <v>6.0140000000000002</v>
      </c>
      <c r="P112" s="415">
        <v>1.2183999999999999</v>
      </c>
      <c r="Q112" s="415">
        <v>0.62949999999999995</v>
      </c>
      <c r="R112" s="415">
        <v>0.20430000000000001</v>
      </c>
      <c r="S112" s="415">
        <v>-0.17699999999999999</v>
      </c>
      <c r="T112" s="415">
        <v>-0.10929999999999999</v>
      </c>
      <c r="U112" s="415">
        <v>5.62E-2</v>
      </c>
      <c r="V112" s="415">
        <v>5.4600000000000003E-2</v>
      </c>
      <c r="W112" s="415">
        <v>5.0999999999999997E-2</v>
      </c>
      <c r="X112" s="416">
        <v>4.9040999999999997</v>
      </c>
      <c r="Y112" s="418">
        <v>0.26829999999999998</v>
      </c>
      <c r="Z112" s="418">
        <v>0.2656</v>
      </c>
      <c r="AA112" s="418">
        <v>0.16569999999999999</v>
      </c>
      <c r="AB112" s="419">
        <v>6112.1342999999997</v>
      </c>
      <c r="AC112" s="419">
        <v>1081.5154</v>
      </c>
      <c r="AD112" s="419">
        <v>864.2414</v>
      </c>
      <c r="AE112" s="419">
        <v>166.62989999999999</v>
      </c>
      <c r="AF112" s="420">
        <v>0.3538</v>
      </c>
      <c r="AG112" s="370"/>
    </row>
    <row r="113" spans="1:33">
      <c r="A113" s="370"/>
      <c r="B113" s="406">
        <f t="shared" si="2"/>
        <v>108</v>
      </c>
      <c r="C113" s="407">
        <v>0.16489999999999999</v>
      </c>
      <c r="D113" s="407">
        <v>2E-3</v>
      </c>
      <c r="E113" s="407">
        <v>-0.38690000000000002</v>
      </c>
      <c r="F113" s="407">
        <v>1.5299999999999999E-2</v>
      </c>
      <c r="G113" s="407">
        <v>-4.8999999999999998E-3</v>
      </c>
      <c r="H113" s="407">
        <v>-7.0000000000000001E-3</v>
      </c>
      <c r="I113" s="409">
        <v>9.9000000000000008E-3</v>
      </c>
      <c r="J113" s="407">
        <v>1E-3</v>
      </c>
      <c r="K113" s="410">
        <v>1.8209</v>
      </c>
      <c r="L113" s="422">
        <v>1.9E-2</v>
      </c>
      <c r="M113" s="412">
        <v>5.1599999999999997E-3</v>
      </c>
      <c r="N113" s="413">
        <v>4.0000000000000003E-5</v>
      </c>
      <c r="O113" s="414">
        <v>5.9809999999999999</v>
      </c>
      <c r="P113" s="415">
        <v>1.2117</v>
      </c>
      <c r="Q113" s="415">
        <v>0.62609999999999999</v>
      </c>
      <c r="R113" s="415">
        <v>0.20319999999999999</v>
      </c>
      <c r="S113" s="415">
        <v>-0.17610000000000001</v>
      </c>
      <c r="T113" s="415">
        <v>-0.1087</v>
      </c>
      <c r="U113" s="415">
        <v>5.5899999999999998E-2</v>
      </c>
      <c r="V113" s="415">
        <v>5.4300000000000001E-2</v>
      </c>
      <c r="W113" s="415">
        <v>5.0700000000000002E-2</v>
      </c>
      <c r="X113" s="416">
        <v>4.8772000000000002</v>
      </c>
      <c r="Y113" s="418">
        <v>0.26690000000000003</v>
      </c>
      <c r="Z113" s="418">
        <v>0.2641</v>
      </c>
      <c r="AA113" s="418">
        <v>0.1648</v>
      </c>
      <c r="AB113" s="419">
        <v>6460.11</v>
      </c>
      <c r="AC113" s="419">
        <v>1143.0881999999999</v>
      </c>
      <c r="AD113" s="419">
        <v>913.4443</v>
      </c>
      <c r="AE113" s="419">
        <v>176.1165</v>
      </c>
      <c r="AF113" s="420">
        <v>0.34549999999999997</v>
      </c>
      <c r="AG113" s="370"/>
    </row>
    <row r="114" spans="1:33">
      <c r="A114" s="370"/>
      <c r="B114" s="406">
        <f t="shared" si="2"/>
        <v>109</v>
      </c>
      <c r="C114" s="407">
        <v>0.16400000000000001</v>
      </c>
      <c r="D114" s="407">
        <v>2E-3</v>
      </c>
      <c r="E114" s="407">
        <v>-0.3846</v>
      </c>
      <c r="F114" s="407">
        <v>1.52E-2</v>
      </c>
      <c r="G114" s="407">
        <v>-4.7999999999999996E-3</v>
      </c>
      <c r="H114" s="407">
        <v>-7.0000000000000001E-3</v>
      </c>
      <c r="I114" s="409">
        <v>9.7999999999999997E-3</v>
      </c>
      <c r="J114" s="407">
        <v>8.9999999999999998E-4</v>
      </c>
      <c r="K114" s="410">
        <v>1.8103</v>
      </c>
      <c r="L114" s="422">
        <v>1.89E-2</v>
      </c>
      <c r="M114" s="412">
        <v>5.4400000000000004E-3</v>
      </c>
      <c r="N114" s="413">
        <v>5.0000000000000002E-5</v>
      </c>
      <c r="O114" s="414">
        <v>5.9462000000000002</v>
      </c>
      <c r="P114" s="415">
        <v>1.2045999999999999</v>
      </c>
      <c r="Q114" s="415">
        <v>0.62239999999999995</v>
      </c>
      <c r="R114" s="415">
        <v>0.20200000000000001</v>
      </c>
      <c r="S114" s="415">
        <v>-0.17499999999999999</v>
      </c>
      <c r="T114" s="415">
        <v>-0.1081</v>
      </c>
      <c r="U114" s="415">
        <v>5.5599999999999997E-2</v>
      </c>
      <c r="V114" s="415">
        <v>5.3999999999999999E-2</v>
      </c>
      <c r="W114" s="415">
        <v>5.04E-2</v>
      </c>
      <c r="X114" s="416">
        <v>4.8487999999999998</v>
      </c>
      <c r="Y114" s="418">
        <v>0.26529999999999998</v>
      </c>
      <c r="Z114" s="418">
        <v>0.2626</v>
      </c>
      <c r="AA114" s="418">
        <v>0.1638</v>
      </c>
      <c r="AB114" s="419">
        <v>6806.1178</v>
      </c>
      <c r="AC114" s="419">
        <v>1204.3126999999999</v>
      </c>
      <c r="AD114" s="419">
        <v>962.36900000000003</v>
      </c>
      <c r="AE114" s="419">
        <v>185.54939999999999</v>
      </c>
      <c r="AF114" s="420">
        <v>0.3372</v>
      </c>
      <c r="AG114" s="370"/>
    </row>
    <row r="115" spans="1:33">
      <c r="A115" s="370"/>
      <c r="B115" s="406">
        <f t="shared" si="2"/>
        <v>110</v>
      </c>
      <c r="C115" s="407">
        <v>0.16289999999999999</v>
      </c>
      <c r="D115" s="407">
        <v>2E-3</v>
      </c>
      <c r="E115" s="407">
        <v>-0.38229999999999997</v>
      </c>
      <c r="F115" s="407">
        <v>1.5100000000000001E-2</v>
      </c>
      <c r="G115" s="407">
        <v>-4.7999999999999996E-3</v>
      </c>
      <c r="H115" s="407">
        <v>-7.0000000000000001E-3</v>
      </c>
      <c r="I115" s="409">
        <v>9.7999999999999997E-3</v>
      </c>
      <c r="J115" s="407">
        <v>8.9999999999999998E-4</v>
      </c>
      <c r="K115" s="410">
        <v>1.7990999999999999</v>
      </c>
      <c r="L115" s="422">
        <v>1.8800000000000001E-2</v>
      </c>
      <c r="M115" s="412">
        <v>5.7099999999999998E-3</v>
      </c>
      <c r="N115" s="413">
        <v>5.0000000000000002E-5</v>
      </c>
      <c r="O115" s="414">
        <v>5.9095000000000004</v>
      </c>
      <c r="P115" s="415">
        <v>1.1972</v>
      </c>
      <c r="Q115" s="415">
        <v>0.61860000000000004</v>
      </c>
      <c r="R115" s="415">
        <v>0.20069999999999999</v>
      </c>
      <c r="S115" s="415">
        <v>-0.17399999999999999</v>
      </c>
      <c r="T115" s="415">
        <v>-0.1074</v>
      </c>
      <c r="U115" s="415">
        <v>5.5199999999999999E-2</v>
      </c>
      <c r="V115" s="415">
        <v>5.3600000000000002E-2</v>
      </c>
      <c r="W115" s="415">
        <v>5.0099999999999999E-2</v>
      </c>
      <c r="X115" s="416">
        <v>4.8189000000000002</v>
      </c>
      <c r="Y115" s="418">
        <v>0.26369999999999999</v>
      </c>
      <c r="Z115" s="418">
        <v>0.26090000000000002</v>
      </c>
      <c r="AA115" s="418">
        <v>0.1628</v>
      </c>
      <c r="AB115" s="419">
        <v>7150.0524999999998</v>
      </c>
      <c r="AC115" s="419">
        <v>1265.1704999999999</v>
      </c>
      <c r="AD115" s="419">
        <v>1011.0006</v>
      </c>
      <c r="AE115" s="419">
        <v>194.92580000000001</v>
      </c>
      <c r="AF115" s="420">
        <v>0.32900000000000001</v>
      </c>
      <c r="AG115" s="370"/>
    </row>
    <row r="116" spans="1:33">
      <c r="A116" s="370"/>
      <c r="B116" s="406">
        <f t="shared" si="2"/>
        <v>111</v>
      </c>
      <c r="C116" s="407">
        <v>0.16189999999999999</v>
      </c>
      <c r="D116" s="407">
        <v>2E-3</v>
      </c>
      <c r="E116" s="407">
        <v>-0.37980000000000003</v>
      </c>
      <c r="F116" s="407">
        <v>1.4999999999999999E-2</v>
      </c>
      <c r="G116" s="407">
        <v>-4.7999999999999996E-3</v>
      </c>
      <c r="H116" s="407">
        <v>-6.8999999999999999E-3</v>
      </c>
      <c r="I116" s="409">
        <v>9.7000000000000003E-3</v>
      </c>
      <c r="J116" s="407">
        <v>8.9999999999999998E-4</v>
      </c>
      <c r="K116" s="410">
        <v>1.7874000000000001</v>
      </c>
      <c r="L116" s="422">
        <v>1.8700000000000001E-2</v>
      </c>
      <c r="M116" s="412">
        <v>5.9800000000000001E-3</v>
      </c>
      <c r="N116" s="413">
        <v>5.0000000000000002E-5</v>
      </c>
      <c r="O116" s="414">
        <v>5.8711000000000002</v>
      </c>
      <c r="P116" s="415">
        <v>1.1894</v>
      </c>
      <c r="Q116" s="415">
        <v>0.61460000000000004</v>
      </c>
      <c r="R116" s="415">
        <v>0.19939999999999999</v>
      </c>
      <c r="S116" s="415">
        <v>-0.17280000000000001</v>
      </c>
      <c r="T116" s="415">
        <v>-0.1067</v>
      </c>
      <c r="U116" s="415">
        <v>5.4899999999999997E-2</v>
      </c>
      <c r="V116" s="415">
        <v>5.33E-2</v>
      </c>
      <c r="W116" s="415">
        <v>4.9799999999999997E-2</v>
      </c>
      <c r="X116" s="416">
        <v>4.7876000000000003</v>
      </c>
      <c r="Y116" s="418">
        <v>0.26200000000000001</v>
      </c>
      <c r="Z116" s="418">
        <v>0.25919999999999999</v>
      </c>
      <c r="AA116" s="418">
        <v>0.16170000000000001</v>
      </c>
      <c r="AB116" s="419">
        <v>7491.8091999999997</v>
      </c>
      <c r="AC116" s="419">
        <v>1325.6428000000001</v>
      </c>
      <c r="AD116" s="419">
        <v>1059.3242</v>
      </c>
      <c r="AE116" s="419">
        <v>204.24289999999999</v>
      </c>
      <c r="AF116" s="420">
        <v>0.32079999999999997</v>
      </c>
      <c r="AG116" s="370"/>
    </row>
    <row r="117" spans="1:33">
      <c r="A117" s="370"/>
      <c r="B117" s="406">
        <f t="shared" si="2"/>
        <v>112</v>
      </c>
      <c r="C117" s="407">
        <v>0.1608</v>
      </c>
      <c r="D117" s="407">
        <v>1.9E-3</v>
      </c>
      <c r="E117" s="407">
        <v>-0.37719999999999998</v>
      </c>
      <c r="F117" s="407">
        <v>1.49E-2</v>
      </c>
      <c r="G117" s="407">
        <v>-4.7000000000000002E-3</v>
      </c>
      <c r="H117" s="407">
        <v>-6.8999999999999999E-3</v>
      </c>
      <c r="I117" s="409">
        <v>9.5999999999999992E-3</v>
      </c>
      <c r="J117" s="407">
        <v>8.9999999999999998E-4</v>
      </c>
      <c r="K117" s="410">
        <v>1.7751999999999999</v>
      </c>
      <c r="L117" s="422">
        <v>1.8499999999999999E-2</v>
      </c>
      <c r="M117" s="412">
        <v>6.2599999999999999E-3</v>
      </c>
      <c r="N117" s="413">
        <v>5.0000000000000002E-5</v>
      </c>
      <c r="O117" s="414">
        <v>5.8308</v>
      </c>
      <c r="P117" s="415">
        <v>1.1813</v>
      </c>
      <c r="Q117" s="415">
        <v>0.61040000000000005</v>
      </c>
      <c r="R117" s="415">
        <v>0.1981</v>
      </c>
      <c r="S117" s="415">
        <v>-0.1716</v>
      </c>
      <c r="T117" s="415">
        <v>-0.106</v>
      </c>
      <c r="U117" s="415">
        <v>5.45E-2</v>
      </c>
      <c r="V117" s="415">
        <v>5.2900000000000003E-2</v>
      </c>
      <c r="W117" s="415">
        <v>4.9399999999999999E-2</v>
      </c>
      <c r="X117" s="416">
        <v>4.7548000000000004</v>
      </c>
      <c r="Y117" s="418">
        <v>0.26019999999999999</v>
      </c>
      <c r="Z117" s="418">
        <v>0.25750000000000001</v>
      </c>
      <c r="AA117" s="418">
        <v>0.16059999999999999</v>
      </c>
      <c r="AB117" s="419">
        <v>7831.2838000000002</v>
      </c>
      <c r="AC117" s="419">
        <v>1385.7113999999999</v>
      </c>
      <c r="AD117" s="419">
        <v>1107.3251</v>
      </c>
      <c r="AE117" s="419">
        <v>213.49770000000001</v>
      </c>
      <c r="AF117" s="420">
        <v>0.31269999999999998</v>
      </c>
      <c r="AG117" s="370"/>
    </row>
    <row r="118" spans="1:33">
      <c r="A118" s="370"/>
      <c r="B118" s="406">
        <f t="shared" si="2"/>
        <v>113</v>
      </c>
      <c r="C118" s="407">
        <v>0.15959999999999999</v>
      </c>
      <c r="D118" s="407">
        <v>1.9E-3</v>
      </c>
      <c r="E118" s="407">
        <v>-0.3745</v>
      </c>
      <c r="F118" s="407">
        <v>1.4800000000000001E-2</v>
      </c>
      <c r="G118" s="407">
        <v>-4.7000000000000002E-3</v>
      </c>
      <c r="H118" s="407">
        <v>-6.7999999999999996E-3</v>
      </c>
      <c r="I118" s="409">
        <v>9.5999999999999992E-3</v>
      </c>
      <c r="J118" s="407">
        <v>8.9999999999999998E-4</v>
      </c>
      <c r="K118" s="410">
        <v>1.7624</v>
      </c>
      <c r="L118" s="422">
        <v>1.84E-2</v>
      </c>
      <c r="M118" s="412">
        <v>6.5300000000000002E-3</v>
      </c>
      <c r="N118" s="413">
        <v>5.0000000000000002E-5</v>
      </c>
      <c r="O118" s="414">
        <v>5.7888000000000002</v>
      </c>
      <c r="P118" s="415">
        <v>1.1727000000000001</v>
      </c>
      <c r="Q118" s="415">
        <v>0.60599999999999998</v>
      </c>
      <c r="R118" s="415">
        <v>0.1966</v>
      </c>
      <c r="S118" s="415">
        <v>-0.1704</v>
      </c>
      <c r="T118" s="415">
        <v>-0.1052</v>
      </c>
      <c r="U118" s="415">
        <v>5.4100000000000002E-2</v>
      </c>
      <c r="V118" s="415">
        <v>5.2499999999999998E-2</v>
      </c>
      <c r="W118" s="415">
        <v>4.9099999999999998E-2</v>
      </c>
      <c r="X118" s="416">
        <v>4.7205000000000004</v>
      </c>
      <c r="Y118" s="418">
        <v>0.25829999999999997</v>
      </c>
      <c r="Z118" s="418">
        <v>0.25559999999999999</v>
      </c>
      <c r="AA118" s="418">
        <v>0.1595</v>
      </c>
      <c r="AB118" s="419">
        <v>8168.3729999999996</v>
      </c>
      <c r="AC118" s="419">
        <v>1445.3578</v>
      </c>
      <c r="AD118" s="419">
        <v>1154.9887000000001</v>
      </c>
      <c r="AE118" s="419">
        <v>222.6874</v>
      </c>
      <c r="AF118" s="420">
        <v>0.30459999999999998</v>
      </c>
      <c r="AG118" s="370"/>
    </row>
    <row r="119" spans="1:33">
      <c r="A119" s="370"/>
      <c r="B119" s="406">
        <f t="shared" si="2"/>
        <v>114</v>
      </c>
      <c r="C119" s="407">
        <v>0.15840000000000001</v>
      </c>
      <c r="D119" s="407">
        <v>1.9E-3</v>
      </c>
      <c r="E119" s="407">
        <v>-0.37159999999999999</v>
      </c>
      <c r="F119" s="407">
        <v>1.47E-2</v>
      </c>
      <c r="G119" s="407">
        <v>-4.7000000000000002E-3</v>
      </c>
      <c r="H119" s="407">
        <v>-6.7999999999999996E-3</v>
      </c>
      <c r="I119" s="409">
        <v>9.4999999999999998E-3</v>
      </c>
      <c r="J119" s="407">
        <v>8.9999999999999998E-4</v>
      </c>
      <c r="K119" s="410">
        <v>1.7491000000000001</v>
      </c>
      <c r="L119" s="422">
        <v>1.83E-2</v>
      </c>
      <c r="M119" s="412">
        <v>6.79E-3</v>
      </c>
      <c r="N119" s="413">
        <v>6.0000000000000002E-5</v>
      </c>
      <c r="O119" s="414">
        <v>5.7450999999999999</v>
      </c>
      <c r="P119" s="415">
        <v>1.1638999999999999</v>
      </c>
      <c r="Q119" s="415">
        <v>0.60140000000000005</v>
      </c>
      <c r="R119" s="415">
        <v>0.1951</v>
      </c>
      <c r="S119" s="415">
        <v>-0.1691</v>
      </c>
      <c r="T119" s="415">
        <v>-0.10440000000000001</v>
      </c>
      <c r="U119" s="415">
        <v>5.3699999999999998E-2</v>
      </c>
      <c r="V119" s="415">
        <v>5.21E-2</v>
      </c>
      <c r="W119" s="415">
        <v>4.87E-2</v>
      </c>
      <c r="X119" s="416">
        <v>4.6848000000000001</v>
      </c>
      <c r="Y119" s="418">
        <v>0.25629999999999997</v>
      </c>
      <c r="Z119" s="418">
        <v>0.25369999999999998</v>
      </c>
      <c r="AA119" s="418">
        <v>0.1583</v>
      </c>
      <c r="AB119" s="419">
        <v>8502.9739000000009</v>
      </c>
      <c r="AC119" s="419">
        <v>1504.5640000000001</v>
      </c>
      <c r="AD119" s="419">
        <v>1202.3005000000001</v>
      </c>
      <c r="AE119" s="419">
        <v>231.80940000000001</v>
      </c>
      <c r="AF119" s="420">
        <v>0.29659999999999997</v>
      </c>
      <c r="AG119" s="370"/>
    </row>
    <row r="120" spans="1:33">
      <c r="A120" s="370"/>
      <c r="B120" s="406">
        <f t="shared" si="2"/>
        <v>115</v>
      </c>
      <c r="C120" s="407">
        <v>0.15720000000000001</v>
      </c>
      <c r="D120" s="407">
        <v>1.9E-3</v>
      </c>
      <c r="E120" s="407">
        <v>-0.36870000000000003</v>
      </c>
      <c r="F120" s="407">
        <v>1.46E-2</v>
      </c>
      <c r="G120" s="407">
        <v>-4.5999999999999999E-3</v>
      </c>
      <c r="H120" s="407">
        <v>-6.7000000000000002E-3</v>
      </c>
      <c r="I120" s="409">
        <v>9.4000000000000004E-3</v>
      </c>
      <c r="J120" s="407">
        <v>8.9999999999999998E-4</v>
      </c>
      <c r="K120" s="410">
        <v>1.7352000000000001</v>
      </c>
      <c r="L120" s="422">
        <v>1.8100000000000002E-2</v>
      </c>
      <c r="M120" s="412">
        <v>7.0600000000000003E-3</v>
      </c>
      <c r="N120" s="413">
        <v>6.0000000000000002E-5</v>
      </c>
      <c r="O120" s="414">
        <v>5.6996000000000002</v>
      </c>
      <c r="P120" s="415">
        <v>1.1547000000000001</v>
      </c>
      <c r="Q120" s="415">
        <v>0.59660000000000002</v>
      </c>
      <c r="R120" s="415">
        <v>0.19359999999999999</v>
      </c>
      <c r="S120" s="415">
        <v>-0.1678</v>
      </c>
      <c r="T120" s="415">
        <v>-0.1036</v>
      </c>
      <c r="U120" s="415">
        <v>5.33E-2</v>
      </c>
      <c r="V120" s="415">
        <v>5.1700000000000003E-2</v>
      </c>
      <c r="W120" s="415">
        <v>4.8300000000000003E-2</v>
      </c>
      <c r="X120" s="416">
        <v>4.6477000000000004</v>
      </c>
      <c r="Y120" s="418">
        <v>0.25430000000000003</v>
      </c>
      <c r="Z120" s="418">
        <v>0.25169999999999998</v>
      </c>
      <c r="AA120" s="418">
        <v>0.157</v>
      </c>
      <c r="AB120" s="419">
        <v>8834.9848000000002</v>
      </c>
      <c r="AC120" s="419">
        <v>1563.3118999999999</v>
      </c>
      <c r="AD120" s="419">
        <v>1249.2461000000001</v>
      </c>
      <c r="AE120" s="419">
        <v>240.86070000000001</v>
      </c>
      <c r="AF120" s="420">
        <v>0.28870000000000001</v>
      </c>
      <c r="AG120" s="370"/>
    </row>
    <row r="121" spans="1:33">
      <c r="A121" s="370"/>
      <c r="B121" s="406">
        <f t="shared" si="2"/>
        <v>116</v>
      </c>
      <c r="C121" s="407">
        <v>0.15590000000000001</v>
      </c>
      <c r="D121" s="407">
        <v>1.9E-3</v>
      </c>
      <c r="E121" s="407">
        <v>-0.36559999999999998</v>
      </c>
      <c r="F121" s="407">
        <v>1.4500000000000001E-2</v>
      </c>
      <c r="G121" s="407">
        <v>-4.5999999999999999E-3</v>
      </c>
      <c r="H121" s="407">
        <v>-6.7000000000000002E-3</v>
      </c>
      <c r="I121" s="409">
        <v>9.2999999999999992E-3</v>
      </c>
      <c r="J121" s="407">
        <v>8.9999999999999998E-4</v>
      </c>
      <c r="K121" s="410">
        <v>1.7208000000000001</v>
      </c>
      <c r="L121" s="422">
        <v>1.7999999999999999E-2</v>
      </c>
      <c r="M121" s="412">
        <v>7.3200000000000001E-3</v>
      </c>
      <c r="N121" s="413">
        <v>6.0000000000000002E-5</v>
      </c>
      <c r="O121" s="414">
        <v>5.6523000000000003</v>
      </c>
      <c r="P121" s="415">
        <v>1.1451</v>
      </c>
      <c r="Q121" s="415">
        <v>0.5917</v>
      </c>
      <c r="R121" s="415">
        <v>0.192</v>
      </c>
      <c r="S121" s="415">
        <v>-0.16639999999999999</v>
      </c>
      <c r="T121" s="415">
        <v>-0.1028</v>
      </c>
      <c r="U121" s="415">
        <v>5.28E-2</v>
      </c>
      <c r="V121" s="415">
        <v>5.1299999999999998E-2</v>
      </c>
      <c r="W121" s="415">
        <v>4.7899999999999998E-2</v>
      </c>
      <c r="X121" s="416">
        <v>4.6092000000000004</v>
      </c>
      <c r="Y121" s="418">
        <v>0.25219999999999998</v>
      </c>
      <c r="Z121" s="418">
        <v>0.24959999999999999</v>
      </c>
      <c r="AA121" s="418">
        <v>0.15570000000000001</v>
      </c>
      <c r="AB121" s="419">
        <v>9164.3044000000009</v>
      </c>
      <c r="AC121" s="419">
        <v>1621.5835</v>
      </c>
      <c r="AD121" s="419">
        <v>1295.8110999999999</v>
      </c>
      <c r="AE121" s="419">
        <v>249.83869999999999</v>
      </c>
      <c r="AF121" s="420">
        <v>0.28079999999999999</v>
      </c>
      <c r="AG121" s="370"/>
    </row>
    <row r="122" spans="1:33">
      <c r="A122" s="370"/>
      <c r="B122" s="406">
        <f t="shared" si="2"/>
        <v>117</v>
      </c>
      <c r="C122" s="407">
        <v>0.1545</v>
      </c>
      <c r="D122" s="407">
        <v>1.9E-3</v>
      </c>
      <c r="E122" s="407">
        <v>-0.36249999999999999</v>
      </c>
      <c r="F122" s="407">
        <v>1.43E-2</v>
      </c>
      <c r="G122" s="407">
        <v>-4.4999999999999997E-3</v>
      </c>
      <c r="H122" s="407">
        <v>-6.6E-3</v>
      </c>
      <c r="I122" s="409">
        <v>9.2999999999999992E-3</v>
      </c>
      <c r="J122" s="407">
        <v>8.9999999999999998E-4</v>
      </c>
      <c r="K122" s="410">
        <v>1.7059</v>
      </c>
      <c r="L122" s="422">
        <v>1.78E-2</v>
      </c>
      <c r="M122" s="412">
        <v>7.5799999999999999E-3</v>
      </c>
      <c r="N122" s="413">
        <v>6.0000000000000002E-5</v>
      </c>
      <c r="O122" s="414">
        <v>5.6032999999999999</v>
      </c>
      <c r="P122" s="415">
        <v>1.1352</v>
      </c>
      <c r="Q122" s="415">
        <v>0.58660000000000001</v>
      </c>
      <c r="R122" s="415">
        <v>0.1903</v>
      </c>
      <c r="S122" s="415">
        <v>-0.16489999999999999</v>
      </c>
      <c r="T122" s="415">
        <v>-0.1019</v>
      </c>
      <c r="U122" s="415">
        <v>5.2400000000000002E-2</v>
      </c>
      <c r="V122" s="415">
        <v>5.0799999999999998E-2</v>
      </c>
      <c r="W122" s="415">
        <v>4.7500000000000001E-2</v>
      </c>
      <c r="X122" s="416">
        <v>4.5692000000000004</v>
      </c>
      <c r="Y122" s="418">
        <v>0.25</v>
      </c>
      <c r="Z122" s="418">
        <v>0.24740000000000001</v>
      </c>
      <c r="AA122" s="418">
        <v>0.15440000000000001</v>
      </c>
      <c r="AB122" s="419">
        <v>9490.8325999999997</v>
      </c>
      <c r="AC122" s="419">
        <v>1679.3613</v>
      </c>
      <c r="AD122" s="419">
        <v>1341.9813999999999</v>
      </c>
      <c r="AE122" s="419">
        <v>258.7405</v>
      </c>
      <c r="AF122" s="420">
        <v>0.27300000000000002</v>
      </c>
      <c r="AG122" s="370"/>
    </row>
    <row r="123" spans="1:33">
      <c r="A123" s="370"/>
      <c r="B123" s="406">
        <f t="shared" si="2"/>
        <v>118</v>
      </c>
      <c r="C123" s="407">
        <v>0.15310000000000001</v>
      </c>
      <c r="D123" s="407">
        <v>1.9E-3</v>
      </c>
      <c r="E123" s="407">
        <v>-0.35920000000000002</v>
      </c>
      <c r="F123" s="407">
        <v>1.4200000000000001E-2</v>
      </c>
      <c r="G123" s="407">
        <v>-4.4999999999999997E-3</v>
      </c>
      <c r="H123" s="407">
        <v>-6.4999999999999997E-3</v>
      </c>
      <c r="I123" s="409">
        <v>9.1999999999999998E-3</v>
      </c>
      <c r="J123" s="407">
        <v>8.9999999999999998E-4</v>
      </c>
      <c r="K123" s="410">
        <v>1.6904999999999999</v>
      </c>
      <c r="L123" s="422">
        <v>1.77E-2</v>
      </c>
      <c r="M123" s="412">
        <v>7.8399999999999997E-3</v>
      </c>
      <c r="N123" s="413">
        <v>6.9999999999999994E-5</v>
      </c>
      <c r="O123" s="414">
        <v>5.5526999999999997</v>
      </c>
      <c r="P123" s="415">
        <v>1.1249</v>
      </c>
      <c r="Q123" s="415">
        <v>0.58130000000000004</v>
      </c>
      <c r="R123" s="415">
        <v>0.18859999999999999</v>
      </c>
      <c r="S123" s="415">
        <v>-0.16339999999999999</v>
      </c>
      <c r="T123" s="415">
        <v>-0.1009</v>
      </c>
      <c r="U123" s="415">
        <v>5.1900000000000002E-2</v>
      </c>
      <c r="V123" s="415">
        <v>5.04E-2</v>
      </c>
      <c r="W123" s="415">
        <v>4.7100000000000003E-2</v>
      </c>
      <c r="X123" s="416">
        <v>4.5278999999999998</v>
      </c>
      <c r="Y123" s="418">
        <v>0.24779999999999999</v>
      </c>
      <c r="Z123" s="418">
        <v>0.2452</v>
      </c>
      <c r="AA123" s="418">
        <v>0.153</v>
      </c>
      <c r="AB123" s="419">
        <v>9814.4696999999996</v>
      </c>
      <c r="AC123" s="419">
        <v>1736.6274000000001</v>
      </c>
      <c r="AD123" s="419">
        <v>1387.7429</v>
      </c>
      <c r="AE123" s="419">
        <v>267.56360000000001</v>
      </c>
      <c r="AF123" s="420">
        <v>0.26529999999999998</v>
      </c>
      <c r="AG123" s="370"/>
    </row>
    <row r="124" spans="1:33">
      <c r="A124" s="370"/>
      <c r="B124" s="406">
        <f t="shared" si="2"/>
        <v>119</v>
      </c>
      <c r="C124" s="407">
        <v>0.1517</v>
      </c>
      <c r="D124" s="407">
        <v>1.8E-3</v>
      </c>
      <c r="E124" s="407">
        <v>-0.35580000000000001</v>
      </c>
      <c r="F124" s="407">
        <v>1.41E-2</v>
      </c>
      <c r="G124" s="407">
        <v>-4.4999999999999997E-3</v>
      </c>
      <c r="H124" s="407">
        <v>-6.4999999999999997E-3</v>
      </c>
      <c r="I124" s="409">
        <v>9.1000000000000004E-3</v>
      </c>
      <c r="J124" s="407">
        <v>8.9999999999999998E-4</v>
      </c>
      <c r="K124" s="410">
        <v>1.6745000000000001</v>
      </c>
      <c r="L124" s="422">
        <v>1.7500000000000002E-2</v>
      </c>
      <c r="M124" s="412">
        <v>8.0999999999999996E-3</v>
      </c>
      <c r="N124" s="413">
        <v>6.9999999999999994E-5</v>
      </c>
      <c r="O124" s="414">
        <v>5.5003000000000002</v>
      </c>
      <c r="P124" s="415">
        <v>1.1143000000000001</v>
      </c>
      <c r="Q124" s="415">
        <v>0.57579999999999998</v>
      </c>
      <c r="R124" s="415">
        <v>0.18679999999999999</v>
      </c>
      <c r="S124" s="415">
        <v>-0.16189999999999999</v>
      </c>
      <c r="T124" s="415">
        <v>-0.1</v>
      </c>
      <c r="U124" s="415">
        <v>5.1400000000000001E-2</v>
      </c>
      <c r="V124" s="415">
        <v>4.99E-2</v>
      </c>
      <c r="W124" s="415">
        <v>4.6600000000000003E-2</v>
      </c>
      <c r="X124" s="416">
        <v>4.4851999999999999</v>
      </c>
      <c r="Y124" s="418">
        <v>0.24540000000000001</v>
      </c>
      <c r="Z124" s="418">
        <v>0.2429</v>
      </c>
      <c r="AA124" s="418">
        <v>0.1515</v>
      </c>
      <c r="AB124" s="419">
        <v>10135.117200000001</v>
      </c>
      <c r="AC124" s="419">
        <v>1793.3646000000001</v>
      </c>
      <c r="AD124" s="419">
        <v>1433.0817</v>
      </c>
      <c r="AE124" s="419">
        <v>276.30509999999998</v>
      </c>
      <c r="AF124" s="420">
        <v>0.2576</v>
      </c>
      <c r="AG124" s="370"/>
    </row>
    <row r="125" spans="1:33">
      <c r="A125" s="370"/>
      <c r="B125" s="406">
        <f t="shared" si="2"/>
        <v>120</v>
      </c>
      <c r="C125" s="407">
        <v>0.1502</v>
      </c>
      <c r="D125" s="407">
        <v>1.8E-3</v>
      </c>
      <c r="E125" s="407">
        <v>-0.3523</v>
      </c>
      <c r="F125" s="407">
        <v>1.3899999999999999E-2</v>
      </c>
      <c r="G125" s="407">
        <v>-4.4000000000000003E-3</v>
      </c>
      <c r="H125" s="407">
        <v>-6.4000000000000003E-3</v>
      </c>
      <c r="I125" s="409">
        <v>8.9999999999999993E-3</v>
      </c>
      <c r="J125" s="407">
        <v>8.9999999999999998E-4</v>
      </c>
      <c r="K125" s="410">
        <v>1.6580999999999999</v>
      </c>
      <c r="L125" s="422">
        <v>1.7299999999999999E-2</v>
      </c>
      <c r="M125" s="412">
        <v>8.3499999999999998E-3</v>
      </c>
      <c r="N125" s="413">
        <v>6.9999999999999994E-5</v>
      </c>
      <c r="O125" s="414">
        <v>5.4462000000000002</v>
      </c>
      <c r="P125" s="415">
        <v>1.1032999999999999</v>
      </c>
      <c r="Q125" s="415">
        <v>0.57010000000000005</v>
      </c>
      <c r="R125" s="415">
        <v>0.185</v>
      </c>
      <c r="S125" s="415">
        <v>-0.1603</v>
      </c>
      <c r="T125" s="415">
        <v>-9.9000000000000005E-2</v>
      </c>
      <c r="U125" s="415">
        <v>5.0900000000000001E-2</v>
      </c>
      <c r="V125" s="415">
        <v>4.9399999999999999E-2</v>
      </c>
      <c r="W125" s="415">
        <v>4.6199999999999998E-2</v>
      </c>
      <c r="X125" s="416">
        <v>4.4410999999999996</v>
      </c>
      <c r="Y125" s="418">
        <v>0.24299999999999999</v>
      </c>
      <c r="Z125" s="418">
        <v>0.24049999999999999</v>
      </c>
      <c r="AA125" s="418">
        <v>0.15</v>
      </c>
      <c r="AB125" s="419">
        <v>10452.6775</v>
      </c>
      <c r="AC125" s="419">
        <v>1849.5554999999999</v>
      </c>
      <c r="AD125" s="419">
        <v>1477.9839999999999</v>
      </c>
      <c r="AE125" s="419">
        <v>284.96249999999998</v>
      </c>
      <c r="AF125" s="420">
        <v>0.25</v>
      </c>
      <c r="AG125" s="370"/>
    </row>
    <row r="126" spans="1:33">
      <c r="A126" s="370"/>
      <c r="B126" s="406">
        <f t="shared" si="2"/>
        <v>121</v>
      </c>
      <c r="C126" s="407">
        <v>0.14860000000000001</v>
      </c>
      <c r="D126" s="407">
        <v>1.8E-3</v>
      </c>
      <c r="E126" s="407">
        <v>-0.34870000000000001</v>
      </c>
      <c r="F126" s="407">
        <v>1.38E-2</v>
      </c>
      <c r="G126" s="407">
        <v>-4.4000000000000003E-3</v>
      </c>
      <c r="H126" s="408">
        <v>-6.3E-3</v>
      </c>
      <c r="I126" s="409">
        <v>8.8999999999999999E-3</v>
      </c>
      <c r="J126" s="407">
        <v>8.9999999999999998E-4</v>
      </c>
      <c r="K126" s="410">
        <v>1.6411</v>
      </c>
      <c r="L126" s="411">
        <v>1.7100000000000001E-2</v>
      </c>
      <c r="M126" s="412">
        <v>8.6E-3</v>
      </c>
      <c r="N126" s="423">
        <v>6.9999999999999994E-5</v>
      </c>
      <c r="O126" s="424">
        <v>5.3905000000000003</v>
      </c>
      <c r="P126" s="415">
        <v>1.0921000000000001</v>
      </c>
      <c r="Q126" s="424">
        <v>0.56430000000000002</v>
      </c>
      <c r="R126" s="415">
        <v>0.18310000000000001</v>
      </c>
      <c r="S126" s="415">
        <v>-0.15870000000000001</v>
      </c>
      <c r="T126" s="415">
        <v>-9.8000000000000004E-2</v>
      </c>
      <c r="U126" s="415">
        <v>5.04E-2</v>
      </c>
      <c r="V126" s="415">
        <v>4.8899999999999999E-2</v>
      </c>
      <c r="W126" s="415">
        <v>4.5699999999999998E-2</v>
      </c>
      <c r="X126" s="416">
        <v>4.3956999999999997</v>
      </c>
      <c r="Y126" s="417">
        <v>0.24049999999999999</v>
      </c>
      <c r="Z126" s="418">
        <v>0.23799999999999999</v>
      </c>
      <c r="AA126" s="418">
        <v>0.14849999999999999</v>
      </c>
      <c r="AB126" s="419">
        <v>10767.0538</v>
      </c>
      <c r="AC126" s="419">
        <v>1905.183</v>
      </c>
      <c r="AD126" s="419">
        <v>1522.4360999999999</v>
      </c>
      <c r="AE126" s="419">
        <v>293.53309999999999</v>
      </c>
      <c r="AF126" s="420">
        <v>0.24249999999999999</v>
      </c>
      <c r="AG126" s="370"/>
    </row>
    <row r="127" spans="1:33">
      <c r="A127" s="370"/>
      <c r="B127" s="406">
        <f t="shared" si="2"/>
        <v>122</v>
      </c>
      <c r="C127" s="407">
        <v>0.14710000000000001</v>
      </c>
      <c r="D127" s="407">
        <v>1.8E-3</v>
      </c>
      <c r="E127" s="407">
        <v>-0.34499999999999997</v>
      </c>
      <c r="F127" s="407">
        <v>1.37E-2</v>
      </c>
      <c r="G127" s="407">
        <v>-4.3E-3</v>
      </c>
      <c r="H127" s="407">
        <v>-6.3E-3</v>
      </c>
      <c r="I127" s="409">
        <v>8.8000000000000005E-3</v>
      </c>
      <c r="J127" s="407">
        <v>8.0000000000000004E-4</v>
      </c>
      <c r="K127" s="410">
        <v>1.6236999999999999</v>
      </c>
      <c r="L127" s="411">
        <v>1.7000000000000001E-2</v>
      </c>
      <c r="M127" s="412">
        <v>8.8500000000000002E-3</v>
      </c>
      <c r="N127" s="423">
        <v>6.9999999999999994E-5</v>
      </c>
      <c r="O127" s="424">
        <v>5.3331999999999997</v>
      </c>
      <c r="P127" s="415">
        <v>1.0804</v>
      </c>
      <c r="Q127" s="415">
        <v>0.55830000000000002</v>
      </c>
      <c r="R127" s="415">
        <v>0.1812</v>
      </c>
      <c r="S127" s="415">
        <v>-0.157</v>
      </c>
      <c r="T127" s="415">
        <v>-9.7000000000000003E-2</v>
      </c>
      <c r="U127" s="415">
        <v>4.99E-2</v>
      </c>
      <c r="V127" s="415">
        <v>4.8399999999999999E-2</v>
      </c>
      <c r="W127" s="415">
        <v>4.5199999999999997E-2</v>
      </c>
      <c r="X127" s="416">
        <v>4.3490000000000002</v>
      </c>
      <c r="Y127" s="417">
        <v>0.23799999999999999</v>
      </c>
      <c r="Z127" s="418">
        <v>0.23549999999999999</v>
      </c>
      <c r="AA127" s="418">
        <v>0.1469</v>
      </c>
      <c r="AB127" s="419">
        <v>11078.150299999999</v>
      </c>
      <c r="AC127" s="419">
        <v>1960.2302</v>
      </c>
      <c r="AD127" s="419">
        <v>1566.4244000000001</v>
      </c>
      <c r="AE127" s="419">
        <v>302.01420000000002</v>
      </c>
      <c r="AF127" s="420">
        <v>0.23499999999999999</v>
      </c>
      <c r="AG127" s="370"/>
    </row>
    <row r="128" spans="1:33">
      <c r="A128" s="370"/>
      <c r="B128" s="406">
        <f t="shared" si="2"/>
        <v>123</v>
      </c>
      <c r="C128" s="407">
        <v>0.1454</v>
      </c>
      <c r="D128" s="407">
        <v>1.8E-3</v>
      </c>
      <c r="E128" s="407">
        <v>-0.3412</v>
      </c>
      <c r="F128" s="407">
        <v>1.35E-2</v>
      </c>
      <c r="G128" s="407">
        <v>-4.3E-3</v>
      </c>
      <c r="H128" s="407">
        <v>-6.1999999999999998E-3</v>
      </c>
      <c r="I128" s="409">
        <v>8.6999999999999994E-3</v>
      </c>
      <c r="J128" s="407">
        <v>8.0000000000000004E-4</v>
      </c>
      <c r="K128" s="410">
        <v>1.6056999999999999</v>
      </c>
      <c r="L128" s="422">
        <v>1.6799999999999999E-2</v>
      </c>
      <c r="M128" s="412">
        <v>9.1000000000000004E-3</v>
      </c>
      <c r="N128" s="413">
        <v>8.0000000000000007E-5</v>
      </c>
      <c r="O128" s="414">
        <v>5.2742000000000004</v>
      </c>
      <c r="P128" s="415">
        <v>1.0685</v>
      </c>
      <c r="Q128" s="415">
        <v>0.55210000000000004</v>
      </c>
      <c r="R128" s="415">
        <v>0.1792</v>
      </c>
      <c r="S128" s="415">
        <v>-0.15529999999999999</v>
      </c>
      <c r="T128" s="415">
        <v>-9.5899999999999999E-2</v>
      </c>
      <c r="U128" s="415">
        <v>4.9299999999999997E-2</v>
      </c>
      <c r="V128" s="415">
        <v>4.7899999999999998E-2</v>
      </c>
      <c r="W128" s="415">
        <v>4.4699999999999997E-2</v>
      </c>
      <c r="X128" s="416">
        <v>4.3009000000000004</v>
      </c>
      <c r="Y128" s="418">
        <v>0.23530000000000001</v>
      </c>
      <c r="Z128" s="418">
        <v>0.2329</v>
      </c>
      <c r="AA128" s="418">
        <v>0.14530000000000001</v>
      </c>
      <c r="AB128" s="419">
        <v>11385.8724</v>
      </c>
      <c r="AC128" s="419">
        <v>2014.6802</v>
      </c>
      <c r="AD128" s="419">
        <v>1609.9356</v>
      </c>
      <c r="AE128" s="419">
        <v>310.40339999999998</v>
      </c>
      <c r="AF128" s="420">
        <v>0.22770000000000001</v>
      </c>
      <c r="AG128" s="370"/>
    </row>
    <row r="129" spans="1:33">
      <c r="A129" s="370"/>
      <c r="B129" s="406">
        <f t="shared" si="2"/>
        <v>124</v>
      </c>
      <c r="C129" s="407">
        <v>0.14380000000000001</v>
      </c>
      <c r="D129" s="407">
        <v>1.6999999999999999E-3</v>
      </c>
      <c r="E129" s="407">
        <v>-0.33729999999999999</v>
      </c>
      <c r="F129" s="407">
        <v>1.3299999999999999E-2</v>
      </c>
      <c r="G129" s="407">
        <v>-4.1999999999999997E-3</v>
      </c>
      <c r="H129" s="407">
        <v>-6.1000000000000004E-3</v>
      </c>
      <c r="I129" s="409">
        <v>8.6E-3</v>
      </c>
      <c r="J129" s="407">
        <v>8.0000000000000004E-4</v>
      </c>
      <c r="K129" s="410">
        <v>1.5872999999999999</v>
      </c>
      <c r="L129" s="422">
        <v>1.66E-2</v>
      </c>
      <c r="M129" s="412">
        <v>9.3399999999999993E-3</v>
      </c>
      <c r="N129" s="413">
        <v>8.0000000000000007E-5</v>
      </c>
      <c r="O129" s="414">
        <v>5.2135999999999996</v>
      </c>
      <c r="P129" s="415">
        <v>1.0562</v>
      </c>
      <c r="Q129" s="415">
        <v>0.54579999999999995</v>
      </c>
      <c r="R129" s="415">
        <v>0.17710000000000001</v>
      </c>
      <c r="S129" s="415">
        <v>-0.1535</v>
      </c>
      <c r="T129" s="415">
        <v>-9.4799999999999995E-2</v>
      </c>
      <c r="U129" s="415">
        <v>4.87E-2</v>
      </c>
      <c r="V129" s="415">
        <v>4.7300000000000002E-2</v>
      </c>
      <c r="W129" s="415">
        <v>4.4200000000000003E-2</v>
      </c>
      <c r="X129" s="416">
        <v>4.2515000000000001</v>
      </c>
      <c r="Y129" s="418">
        <v>0.2326</v>
      </c>
      <c r="Z129" s="418">
        <v>0.23019999999999999</v>
      </c>
      <c r="AA129" s="418">
        <v>0.14360000000000001</v>
      </c>
      <c r="AB129" s="419">
        <v>11690.126200000001</v>
      </c>
      <c r="AC129" s="419">
        <v>2068.5165999999999</v>
      </c>
      <c r="AD129" s="419">
        <v>1652.9563000000001</v>
      </c>
      <c r="AE129" s="419">
        <v>318.69799999999998</v>
      </c>
      <c r="AF129" s="420">
        <v>0.22040000000000001</v>
      </c>
      <c r="AG129" s="370"/>
    </row>
    <row r="130" spans="1:33">
      <c r="A130" s="370"/>
      <c r="B130" s="406">
        <f t="shared" si="2"/>
        <v>125</v>
      </c>
      <c r="C130" s="407">
        <v>0.14199999999999999</v>
      </c>
      <c r="D130" s="407">
        <v>1.6999999999999999E-3</v>
      </c>
      <c r="E130" s="407">
        <v>-0.3332</v>
      </c>
      <c r="F130" s="407">
        <v>1.32E-2</v>
      </c>
      <c r="G130" s="407">
        <v>-4.1999999999999997E-3</v>
      </c>
      <c r="H130" s="407">
        <v>-6.1000000000000004E-3</v>
      </c>
      <c r="I130" s="409">
        <v>8.5000000000000006E-3</v>
      </c>
      <c r="J130" s="407">
        <v>8.0000000000000004E-4</v>
      </c>
      <c r="K130" s="410">
        <v>1.5683</v>
      </c>
      <c r="L130" s="422">
        <v>1.6400000000000001E-2</v>
      </c>
      <c r="M130" s="412">
        <v>9.58E-3</v>
      </c>
      <c r="N130" s="413">
        <v>8.0000000000000007E-5</v>
      </c>
      <c r="O130" s="414">
        <v>5.1515000000000004</v>
      </c>
      <c r="P130" s="415">
        <v>1.0436000000000001</v>
      </c>
      <c r="Q130" s="415">
        <v>0.5393</v>
      </c>
      <c r="R130" s="415">
        <v>0.17499999999999999</v>
      </c>
      <c r="S130" s="415">
        <v>-0.15160000000000001</v>
      </c>
      <c r="T130" s="415">
        <v>-9.3700000000000006E-2</v>
      </c>
      <c r="U130" s="415">
        <v>4.82E-2</v>
      </c>
      <c r="V130" s="415">
        <v>4.6699999999999998E-2</v>
      </c>
      <c r="W130" s="415">
        <v>4.3700000000000003E-2</v>
      </c>
      <c r="X130" s="416">
        <v>4.2008000000000001</v>
      </c>
      <c r="Y130" s="418">
        <v>0.22989999999999999</v>
      </c>
      <c r="Z130" s="418">
        <v>0.22750000000000001</v>
      </c>
      <c r="AA130" s="418">
        <v>0.1419</v>
      </c>
      <c r="AB130" s="419">
        <v>11990.819</v>
      </c>
      <c r="AC130" s="419">
        <v>2121.7229000000002</v>
      </c>
      <c r="AD130" s="419">
        <v>1695.4736</v>
      </c>
      <c r="AE130" s="419">
        <v>326.8956</v>
      </c>
      <c r="AF130" s="420">
        <v>0.2132</v>
      </c>
      <c r="AG130" s="370"/>
    </row>
    <row r="131" spans="1:33">
      <c r="A131" s="370"/>
      <c r="B131" s="406">
        <f t="shared" si="2"/>
        <v>126</v>
      </c>
      <c r="C131" s="407">
        <v>0.14030000000000001</v>
      </c>
      <c r="D131" s="407">
        <v>1.6999999999999999E-3</v>
      </c>
      <c r="E131" s="407">
        <v>-0.3291</v>
      </c>
      <c r="F131" s="407">
        <v>1.2999999999999999E-2</v>
      </c>
      <c r="G131" s="407">
        <v>-4.1000000000000003E-3</v>
      </c>
      <c r="H131" s="407">
        <v>-6.0000000000000001E-3</v>
      </c>
      <c r="I131" s="409">
        <v>8.3999999999999995E-3</v>
      </c>
      <c r="J131" s="407">
        <v>8.0000000000000004E-4</v>
      </c>
      <c r="K131" s="410">
        <v>1.5488999999999999</v>
      </c>
      <c r="L131" s="422">
        <v>1.6199999999999999E-2</v>
      </c>
      <c r="M131" s="412">
        <v>9.8200000000000006E-3</v>
      </c>
      <c r="N131" s="413">
        <v>8.0000000000000007E-5</v>
      </c>
      <c r="O131" s="414">
        <v>5.0876999999999999</v>
      </c>
      <c r="P131" s="415">
        <v>1.0306999999999999</v>
      </c>
      <c r="Q131" s="415">
        <v>0.53259999999999996</v>
      </c>
      <c r="R131" s="415">
        <v>0.17280000000000001</v>
      </c>
      <c r="S131" s="415">
        <v>-0.14979999999999999</v>
      </c>
      <c r="T131" s="415">
        <v>-9.2499999999999999E-2</v>
      </c>
      <c r="U131" s="415">
        <v>4.7600000000000003E-2</v>
      </c>
      <c r="V131" s="415">
        <v>4.6199999999999998E-2</v>
      </c>
      <c r="W131" s="415">
        <v>4.3099999999999999E-2</v>
      </c>
      <c r="X131" s="416">
        <v>4.1487999999999996</v>
      </c>
      <c r="Y131" s="418">
        <v>0.22700000000000001</v>
      </c>
      <c r="Z131" s="418">
        <v>0.22470000000000001</v>
      </c>
      <c r="AA131" s="418">
        <v>0.14019999999999999</v>
      </c>
      <c r="AB131" s="419">
        <v>12287.859399999999</v>
      </c>
      <c r="AC131" s="419">
        <v>2174.2829000000002</v>
      </c>
      <c r="AD131" s="419">
        <v>1737.4744000000001</v>
      </c>
      <c r="AE131" s="419">
        <v>334.99349999999998</v>
      </c>
      <c r="AF131" s="420">
        <v>0.20610000000000001</v>
      </c>
      <c r="AG131" s="370"/>
    </row>
    <row r="132" spans="1:33">
      <c r="A132" s="370"/>
      <c r="B132" s="406">
        <f t="shared" si="2"/>
        <v>127</v>
      </c>
      <c r="C132" s="407">
        <v>0.13850000000000001</v>
      </c>
      <c r="D132" s="407">
        <v>1.6999999999999999E-3</v>
      </c>
      <c r="E132" s="407">
        <v>-0.32490000000000002</v>
      </c>
      <c r="F132" s="407">
        <v>1.29E-2</v>
      </c>
      <c r="G132" s="407">
        <v>-4.1000000000000003E-3</v>
      </c>
      <c r="H132" s="407">
        <v>-5.8999999999999999E-3</v>
      </c>
      <c r="I132" s="409">
        <v>8.3000000000000001E-3</v>
      </c>
      <c r="J132" s="407">
        <v>8.0000000000000004E-4</v>
      </c>
      <c r="K132" s="410">
        <v>1.5290999999999999</v>
      </c>
      <c r="L132" s="422">
        <v>1.6E-2</v>
      </c>
      <c r="M132" s="412">
        <v>1.005E-2</v>
      </c>
      <c r="N132" s="413">
        <v>8.0000000000000007E-5</v>
      </c>
      <c r="O132" s="414">
        <v>5.0224000000000002</v>
      </c>
      <c r="P132" s="415">
        <v>1.0175000000000001</v>
      </c>
      <c r="Q132" s="415">
        <v>0.52580000000000005</v>
      </c>
      <c r="R132" s="415">
        <v>0.1706</v>
      </c>
      <c r="S132" s="415">
        <v>-0.14779999999999999</v>
      </c>
      <c r="T132" s="415">
        <v>-9.1300000000000006E-2</v>
      </c>
      <c r="U132" s="415">
        <v>4.7E-2</v>
      </c>
      <c r="V132" s="415">
        <v>4.5600000000000002E-2</v>
      </c>
      <c r="W132" s="415">
        <v>4.2599999999999999E-2</v>
      </c>
      <c r="X132" s="416">
        <v>4.0956000000000001</v>
      </c>
      <c r="Y132" s="418">
        <v>0.22409999999999999</v>
      </c>
      <c r="Z132" s="418">
        <v>0.2218</v>
      </c>
      <c r="AA132" s="418">
        <v>0.1384</v>
      </c>
      <c r="AB132" s="419">
        <v>12581.1567</v>
      </c>
      <c r="AC132" s="419">
        <v>2226.1806000000001</v>
      </c>
      <c r="AD132" s="419">
        <v>1778.9459999999999</v>
      </c>
      <c r="AE132" s="419">
        <v>342.98939999999999</v>
      </c>
      <c r="AF132" s="420">
        <v>0.1991</v>
      </c>
      <c r="AG132" s="370"/>
    </row>
    <row r="133" spans="1:33">
      <c r="A133" s="370"/>
      <c r="B133" s="406">
        <f t="shared" si="2"/>
        <v>128</v>
      </c>
      <c r="C133" s="407">
        <v>0.1366</v>
      </c>
      <c r="D133" s="407">
        <v>1.6999999999999999E-3</v>
      </c>
      <c r="E133" s="407">
        <v>-0.3206</v>
      </c>
      <c r="F133" s="407">
        <v>1.2699999999999999E-2</v>
      </c>
      <c r="G133" s="407">
        <v>-4.0000000000000001E-3</v>
      </c>
      <c r="H133" s="407">
        <v>-5.7999999999999996E-3</v>
      </c>
      <c r="I133" s="409">
        <v>8.2000000000000007E-3</v>
      </c>
      <c r="J133" s="407">
        <v>8.0000000000000004E-4</v>
      </c>
      <c r="K133" s="410">
        <v>1.5086999999999999</v>
      </c>
      <c r="L133" s="422">
        <v>1.5800000000000002E-2</v>
      </c>
      <c r="M133" s="412">
        <v>1.0279999999999999E-2</v>
      </c>
      <c r="N133" s="413">
        <v>9.0000000000000006E-5</v>
      </c>
      <c r="O133" s="414">
        <v>4.9555999999999996</v>
      </c>
      <c r="P133" s="415">
        <v>1.0039</v>
      </c>
      <c r="Q133" s="415">
        <v>0.51880000000000004</v>
      </c>
      <c r="R133" s="415">
        <v>0.16830000000000001</v>
      </c>
      <c r="S133" s="415">
        <v>-0.1459</v>
      </c>
      <c r="T133" s="415">
        <v>-9.01E-2</v>
      </c>
      <c r="U133" s="415">
        <v>4.6300000000000001E-2</v>
      </c>
      <c r="V133" s="415">
        <v>4.4999999999999998E-2</v>
      </c>
      <c r="W133" s="415">
        <v>4.2000000000000003E-2</v>
      </c>
      <c r="X133" s="416">
        <v>4.0411000000000001</v>
      </c>
      <c r="Y133" s="418">
        <v>0.22109999999999999</v>
      </c>
      <c r="Z133" s="418">
        <v>0.21879999999999999</v>
      </c>
      <c r="AA133" s="418">
        <v>0.13650000000000001</v>
      </c>
      <c r="AB133" s="419">
        <v>12870.6217</v>
      </c>
      <c r="AC133" s="419">
        <v>2277.4000999999998</v>
      </c>
      <c r="AD133" s="419">
        <v>1819.8756000000001</v>
      </c>
      <c r="AE133" s="419">
        <v>350.8809</v>
      </c>
      <c r="AF133" s="420">
        <v>0.19220000000000001</v>
      </c>
      <c r="AG133" s="370"/>
    </row>
    <row r="134" spans="1:33">
      <c r="A134" s="370"/>
      <c r="B134" s="406">
        <f t="shared" si="2"/>
        <v>129</v>
      </c>
      <c r="C134" s="407">
        <v>0.1348</v>
      </c>
      <c r="D134" s="407">
        <v>1.6000000000000001E-3</v>
      </c>
      <c r="E134" s="407">
        <v>-0.31609999999999999</v>
      </c>
      <c r="F134" s="407">
        <v>1.2500000000000001E-2</v>
      </c>
      <c r="G134" s="407">
        <v>-4.0000000000000001E-3</v>
      </c>
      <c r="H134" s="407">
        <v>-5.7999999999999996E-3</v>
      </c>
      <c r="I134" s="409">
        <v>8.0999999999999996E-3</v>
      </c>
      <c r="J134" s="407">
        <v>8.0000000000000004E-4</v>
      </c>
      <c r="K134" s="410">
        <v>1.4879</v>
      </c>
      <c r="L134" s="422">
        <v>1.55E-2</v>
      </c>
      <c r="M134" s="412">
        <v>1.051E-2</v>
      </c>
      <c r="N134" s="413">
        <v>9.0000000000000006E-5</v>
      </c>
      <c r="O134" s="414">
        <v>4.8872999999999998</v>
      </c>
      <c r="P134" s="415">
        <v>0.99009999999999998</v>
      </c>
      <c r="Q134" s="415">
        <v>0.51160000000000005</v>
      </c>
      <c r="R134" s="415">
        <v>0.16600000000000001</v>
      </c>
      <c r="S134" s="415">
        <v>-0.1439</v>
      </c>
      <c r="T134" s="415">
        <v>-8.8900000000000007E-2</v>
      </c>
      <c r="U134" s="415">
        <v>4.5699999999999998E-2</v>
      </c>
      <c r="V134" s="415">
        <v>4.4299999999999999E-2</v>
      </c>
      <c r="W134" s="415">
        <v>4.1399999999999999E-2</v>
      </c>
      <c r="X134" s="416">
        <v>3.9853999999999998</v>
      </c>
      <c r="Y134" s="418">
        <v>0.21809999999999999</v>
      </c>
      <c r="Z134" s="418">
        <v>0.21579999999999999</v>
      </c>
      <c r="AA134" s="418">
        <v>0.1346</v>
      </c>
      <c r="AB134" s="419">
        <v>13156.1662</v>
      </c>
      <c r="AC134" s="419">
        <v>2327.9259999999999</v>
      </c>
      <c r="AD134" s="419">
        <v>1860.2509</v>
      </c>
      <c r="AE134" s="419">
        <v>358.66539999999998</v>
      </c>
      <c r="AF134" s="420">
        <v>0.18529999999999999</v>
      </c>
      <c r="AG134" s="370"/>
    </row>
    <row r="135" spans="1:33">
      <c r="A135" s="370"/>
      <c r="B135" s="406">
        <f t="shared" si="2"/>
        <v>130</v>
      </c>
      <c r="C135" s="407">
        <v>0.1328</v>
      </c>
      <c r="D135" s="407">
        <v>1.6000000000000001E-3</v>
      </c>
      <c r="E135" s="407">
        <v>-0.31159999999999999</v>
      </c>
      <c r="F135" s="407">
        <v>1.23E-2</v>
      </c>
      <c r="G135" s="407">
        <v>-3.8999999999999998E-3</v>
      </c>
      <c r="H135" s="407">
        <v>-5.7000000000000002E-3</v>
      </c>
      <c r="I135" s="409">
        <v>8.0000000000000002E-3</v>
      </c>
      <c r="J135" s="407">
        <v>8.0000000000000004E-4</v>
      </c>
      <c r="K135" s="410">
        <v>1.4666999999999999</v>
      </c>
      <c r="L135" s="422">
        <v>1.5299999999999999E-2</v>
      </c>
      <c r="M135" s="412">
        <v>1.073E-2</v>
      </c>
      <c r="N135" s="413">
        <v>9.0000000000000006E-5</v>
      </c>
      <c r="O135" s="414">
        <v>4.8174999999999999</v>
      </c>
      <c r="P135" s="415">
        <v>0.97599999999999998</v>
      </c>
      <c r="Q135" s="415">
        <v>0.50429999999999997</v>
      </c>
      <c r="R135" s="415">
        <v>0.1636</v>
      </c>
      <c r="S135" s="415">
        <v>-0.14180000000000001</v>
      </c>
      <c r="T135" s="415">
        <v>-8.7599999999999997E-2</v>
      </c>
      <c r="U135" s="415">
        <v>4.4999999999999998E-2</v>
      </c>
      <c r="V135" s="415">
        <v>4.3700000000000003E-2</v>
      </c>
      <c r="W135" s="415">
        <v>4.0800000000000003E-2</v>
      </c>
      <c r="X135" s="416">
        <v>3.9283999999999999</v>
      </c>
      <c r="Y135" s="418">
        <v>0.215</v>
      </c>
      <c r="Z135" s="418">
        <v>0.2127</v>
      </c>
      <c r="AA135" s="418">
        <v>0.13270000000000001</v>
      </c>
      <c r="AB135" s="419">
        <v>13437.7032</v>
      </c>
      <c r="AC135" s="419">
        <v>2377.7426999999998</v>
      </c>
      <c r="AD135" s="419">
        <v>1900.0596</v>
      </c>
      <c r="AE135" s="419">
        <v>366.34070000000003</v>
      </c>
      <c r="AF135" s="420">
        <v>0.17860000000000001</v>
      </c>
      <c r="AG135" s="370"/>
    </row>
    <row r="136" spans="1:33">
      <c r="A136" s="370"/>
      <c r="B136" s="406">
        <f t="shared" ref="B136:B199" si="3">B135+1</f>
        <v>131</v>
      </c>
      <c r="C136" s="407">
        <v>0.13089999999999999</v>
      </c>
      <c r="D136" s="407">
        <v>1.6000000000000001E-3</v>
      </c>
      <c r="E136" s="407">
        <v>-0.307</v>
      </c>
      <c r="F136" s="407">
        <v>1.2200000000000001E-2</v>
      </c>
      <c r="G136" s="407">
        <v>-3.8E-3</v>
      </c>
      <c r="H136" s="407">
        <v>-5.5999999999999999E-3</v>
      </c>
      <c r="I136" s="409">
        <v>7.7999999999999996E-3</v>
      </c>
      <c r="J136" s="407">
        <v>8.0000000000000004E-4</v>
      </c>
      <c r="K136" s="410">
        <v>1.4450000000000001</v>
      </c>
      <c r="L136" s="422">
        <v>1.5100000000000001E-2</v>
      </c>
      <c r="M136" s="412">
        <v>1.0959999999999999E-2</v>
      </c>
      <c r="N136" s="413">
        <v>9.0000000000000006E-5</v>
      </c>
      <c r="O136" s="414">
        <v>4.7462</v>
      </c>
      <c r="P136" s="415">
        <v>0.96150000000000002</v>
      </c>
      <c r="Q136" s="415">
        <v>0.49680000000000002</v>
      </c>
      <c r="R136" s="415">
        <v>0.16120000000000001</v>
      </c>
      <c r="S136" s="415">
        <v>-0.13969999999999999</v>
      </c>
      <c r="T136" s="415">
        <v>-8.6300000000000002E-2</v>
      </c>
      <c r="U136" s="415">
        <v>4.4400000000000002E-2</v>
      </c>
      <c r="V136" s="415">
        <v>4.3099999999999999E-2</v>
      </c>
      <c r="W136" s="415">
        <v>4.02E-2</v>
      </c>
      <c r="X136" s="416">
        <v>3.8702999999999999</v>
      </c>
      <c r="Y136" s="418">
        <v>0.21179999999999999</v>
      </c>
      <c r="Z136" s="418">
        <v>0.20960000000000001</v>
      </c>
      <c r="AA136" s="418">
        <v>0.13070000000000001</v>
      </c>
      <c r="AB136" s="419">
        <v>13715.1469</v>
      </c>
      <c r="AC136" s="419">
        <v>2426.8352</v>
      </c>
      <c r="AD136" s="419">
        <v>1939.2895000000001</v>
      </c>
      <c r="AE136" s="419">
        <v>373.90440000000001</v>
      </c>
      <c r="AF136" s="420">
        <v>0.17199999999999999</v>
      </c>
      <c r="AG136" s="370"/>
    </row>
    <row r="137" spans="1:33">
      <c r="A137" s="370"/>
      <c r="B137" s="406">
        <f t="shared" si="3"/>
        <v>132</v>
      </c>
      <c r="C137" s="407">
        <v>0.12889999999999999</v>
      </c>
      <c r="D137" s="407">
        <v>1.6000000000000001E-3</v>
      </c>
      <c r="E137" s="407">
        <v>-0.30230000000000001</v>
      </c>
      <c r="F137" s="407">
        <v>1.2E-2</v>
      </c>
      <c r="G137" s="407">
        <v>-3.8E-3</v>
      </c>
      <c r="H137" s="407">
        <v>-5.4999999999999997E-3</v>
      </c>
      <c r="I137" s="409">
        <v>7.7000000000000002E-3</v>
      </c>
      <c r="J137" s="407">
        <v>6.9999999999999999E-4</v>
      </c>
      <c r="K137" s="410">
        <v>1.4228000000000001</v>
      </c>
      <c r="L137" s="422">
        <v>1.49E-2</v>
      </c>
      <c r="M137" s="412">
        <v>1.1169999999999999E-2</v>
      </c>
      <c r="N137" s="413">
        <v>9.0000000000000006E-5</v>
      </c>
      <c r="O137" s="414">
        <v>4.6734999999999998</v>
      </c>
      <c r="P137" s="415">
        <v>0.94679999999999997</v>
      </c>
      <c r="Q137" s="415">
        <v>0.48920000000000002</v>
      </c>
      <c r="R137" s="415">
        <v>0.15870000000000001</v>
      </c>
      <c r="S137" s="415">
        <v>-0.1376</v>
      </c>
      <c r="T137" s="415">
        <v>-8.5000000000000006E-2</v>
      </c>
      <c r="U137" s="415">
        <v>4.3700000000000003E-2</v>
      </c>
      <c r="V137" s="415">
        <v>4.24E-2</v>
      </c>
      <c r="W137" s="415">
        <v>3.9600000000000003E-2</v>
      </c>
      <c r="X137" s="416">
        <v>3.8109999999999999</v>
      </c>
      <c r="Y137" s="418">
        <v>0.20849999999999999</v>
      </c>
      <c r="Z137" s="418">
        <v>0.2064</v>
      </c>
      <c r="AA137" s="418">
        <v>0.12870000000000001</v>
      </c>
      <c r="AB137" s="419">
        <v>13988.412899999999</v>
      </c>
      <c r="AC137" s="419">
        <v>2475.1884</v>
      </c>
      <c r="AD137" s="419">
        <v>1977.9286999999999</v>
      </c>
      <c r="AE137" s="419">
        <v>381.35430000000002</v>
      </c>
      <c r="AF137" s="420">
        <v>0.16539999999999999</v>
      </c>
      <c r="AG137" s="370"/>
    </row>
    <row r="138" spans="1:33">
      <c r="A138" s="370"/>
      <c r="B138" s="406">
        <f t="shared" si="3"/>
        <v>133</v>
      </c>
      <c r="C138" s="407">
        <v>0.1268</v>
      </c>
      <c r="D138" s="407">
        <v>1.5E-3</v>
      </c>
      <c r="E138" s="407">
        <v>-0.29749999999999999</v>
      </c>
      <c r="F138" s="407">
        <v>1.18E-2</v>
      </c>
      <c r="G138" s="407">
        <v>-3.7000000000000002E-3</v>
      </c>
      <c r="H138" s="407">
        <v>-5.4000000000000003E-3</v>
      </c>
      <c r="I138" s="409">
        <v>7.6E-3</v>
      </c>
      <c r="J138" s="407">
        <v>6.9999999999999999E-4</v>
      </c>
      <c r="K138" s="410">
        <v>1.4001999999999999</v>
      </c>
      <c r="L138" s="422">
        <v>1.46E-2</v>
      </c>
      <c r="M138" s="412">
        <v>1.1390000000000001E-2</v>
      </c>
      <c r="N138" s="413">
        <v>1E-4</v>
      </c>
      <c r="O138" s="414">
        <v>4.5993000000000004</v>
      </c>
      <c r="P138" s="415">
        <v>0.93179999999999996</v>
      </c>
      <c r="Q138" s="415">
        <v>0.48149999999999998</v>
      </c>
      <c r="R138" s="415">
        <v>0.15620000000000001</v>
      </c>
      <c r="S138" s="415">
        <v>-0.13539999999999999</v>
      </c>
      <c r="T138" s="415">
        <v>-8.3599999999999994E-2</v>
      </c>
      <c r="U138" s="415">
        <v>4.2999999999999997E-2</v>
      </c>
      <c r="V138" s="415">
        <v>4.1700000000000001E-2</v>
      </c>
      <c r="W138" s="415">
        <v>3.9E-2</v>
      </c>
      <c r="X138" s="416">
        <v>3.7505000000000002</v>
      </c>
      <c r="Y138" s="418">
        <v>0.20519999999999999</v>
      </c>
      <c r="Z138" s="418">
        <v>0.2031</v>
      </c>
      <c r="AA138" s="418">
        <v>0.12670000000000001</v>
      </c>
      <c r="AB138" s="419">
        <v>14257.417799999999</v>
      </c>
      <c r="AC138" s="419">
        <v>2522.7876000000001</v>
      </c>
      <c r="AD138" s="419">
        <v>2015.9653000000001</v>
      </c>
      <c r="AE138" s="419">
        <v>388.68790000000001</v>
      </c>
      <c r="AF138" s="420">
        <v>0.159</v>
      </c>
      <c r="AG138" s="370"/>
    </row>
    <row r="139" spans="1:33">
      <c r="A139" s="370"/>
      <c r="B139" s="406">
        <f t="shared" si="3"/>
        <v>134</v>
      </c>
      <c r="C139" s="407">
        <v>0.12470000000000001</v>
      </c>
      <c r="D139" s="407">
        <v>1.5E-3</v>
      </c>
      <c r="E139" s="407">
        <v>-0.29260000000000003</v>
      </c>
      <c r="F139" s="407">
        <v>1.1599999999999999E-2</v>
      </c>
      <c r="G139" s="407">
        <v>-3.7000000000000002E-3</v>
      </c>
      <c r="H139" s="407">
        <v>-5.3E-3</v>
      </c>
      <c r="I139" s="409">
        <v>7.4999999999999997E-3</v>
      </c>
      <c r="J139" s="407">
        <v>6.9999999999999999E-4</v>
      </c>
      <c r="K139" s="410">
        <v>1.3772</v>
      </c>
      <c r="L139" s="422">
        <v>1.44E-2</v>
      </c>
      <c r="M139" s="412">
        <v>1.1599999999999999E-2</v>
      </c>
      <c r="N139" s="413">
        <v>1E-4</v>
      </c>
      <c r="O139" s="414">
        <v>4.5237999999999996</v>
      </c>
      <c r="P139" s="415">
        <v>0.91649999999999998</v>
      </c>
      <c r="Q139" s="415">
        <v>0.47360000000000002</v>
      </c>
      <c r="R139" s="415">
        <v>0.1537</v>
      </c>
      <c r="S139" s="415">
        <v>-0.13320000000000001</v>
      </c>
      <c r="T139" s="415">
        <v>-8.2199999999999995E-2</v>
      </c>
      <c r="U139" s="415">
        <v>4.2299999999999997E-2</v>
      </c>
      <c r="V139" s="415">
        <v>4.1000000000000002E-2</v>
      </c>
      <c r="W139" s="415">
        <v>3.8399999999999997E-2</v>
      </c>
      <c r="X139" s="416">
        <v>3.6888999999999998</v>
      </c>
      <c r="Y139" s="418">
        <v>0.2019</v>
      </c>
      <c r="Z139" s="418">
        <v>0.19980000000000001</v>
      </c>
      <c r="AA139" s="418">
        <v>0.1246</v>
      </c>
      <c r="AB139" s="419">
        <v>14522.0798</v>
      </c>
      <c r="AC139" s="419">
        <v>2569.6183999999998</v>
      </c>
      <c r="AD139" s="419">
        <v>2053.3879000000002</v>
      </c>
      <c r="AE139" s="419">
        <v>395.90320000000003</v>
      </c>
      <c r="AF139" s="420">
        <v>0.1527</v>
      </c>
      <c r="AG139" s="370"/>
    </row>
    <row r="140" spans="1:33">
      <c r="A140" s="370"/>
      <c r="B140" s="406">
        <f t="shared" si="3"/>
        <v>135</v>
      </c>
      <c r="C140" s="407">
        <v>0.1226</v>
      </c>
      <c r="D140" s="407">
        <v>1.5E-3</v>
      </c>
      <c r="E140" s="407">
        <v>-0.28770000000000001</v>
      </c>
      <c r="F140" s="407">
        <v>1.14E-2</v>
      </c>
      <c r="G140" s="407">
        <v>-3.5999999999999999E-3</v>
      </c>
      <c r="H140" s="407">
        <v>-5.1999999999999998E-3</v>
      </c>
      <c r="I140" s="409">
        <v>7.4000000000000003E-3</v>
      </c>
      <c r="J140" s="407">
        <v>6.9999999999999999E-4</v>
      </c>
      <c r="K140" s="410">
        <v>1.3537999999999999</v>
      </c>
      <c r="L140" s="422">
        <v>1.41E-2</v>
      </c>
      <c r="M140" s="412">
        <v>1.1809999999999999E-2</v>
      </c>
      <c r="N140" s="413">
        <v>1E-4</v>
      </c>
      <c r="O140" s="414">
        <v>4.4467999999999996</v>
      </c>
      <c r="P140" s="415">
        <v>0.90090000000000003</v>
      </c>
      <c r="Q140" s="415">
        <v>0.46550000000000002</v>
      </c>
      <c r="R140" s="415">
        <v>0.15110000000000001</v>
      </c>
      <c r="S140" s="415">
        <v>-0.13089999999999999</v>
      </c>
      <c r="T140" s="415">
        <v>-8.0799999999999997E-2</v>
      </c>
      <c r="U140" s="415">
        <v>4.1599999999999998E-2</v>
      </c>
      <c r="V140" s="415">
        <v>4.0399999999999998E-2</v>
      </c>
      <c r="W140" s="415">
        <v>3.7699999999999997E-2</v>
      </c>
      <c r="X140" s="416">
        <v>3.6261999999999999</v>
      </c>
      <c r="Y140" s="418">
        <v>0.19839999999999999</v>
      </c>
      <c r="Z140" s="418">
        <v>0.19639999999999999</v>
      </c>
      <c r="AA140" s="418">
        <v>0.1225</v>
      </c>
      <c r="AB140" s="419">
        <v>14782.318300000001</v>
      </c>
      <c r="AC140" s="419">
        <v>2615.6664999999998</v>
      </c>
      <c r="AD140" s="419">
        <v>2090.1849999999999</v>
      </c>
      <c r="AE140" s="419">
        <v>402.99779999999998</v>
      </c>
      <c r="AF140" s="420">
        <v>0.1464</v>
      </c>
      <c r="AG140" s="370"/>
    </row>
    <row r="141" spans="1:33">
      <c r="A141" s="370"/>
      <c r="B141" s="406">
        <f t="shared" si="3"/>
        <v>136</v>
      </c>
      <c r="C141" s="407">
        <v>0.1205</v>
      </c>
      <c r="D141" s="407">
        <v>1.5E-3</v>
      </c>
      <c r="E141" s="407">
        <v>-0.28260000000000002</v>
      </c>
      <c r="F141" s="407">
        <v>1.12E-2</v>
      </c>
      <c r="G141" s="407">
        <v>-3.5000000000000001E-3</v>
      </c>
      <c r="H141" s="407">
        <v>-5.1000000000000004E-3</v>
      </c>
      <c r="I141" s="409">
        <v>7.1999999999999998E-3</v>
      </c>
      <c r="J141" s="407">
        <v>6.9999999999999999E-4</v>
      </c>
      <c r="K141" s="410">
        <v>1.33</v>
      </c>
      <c r="L141" s="422">
        <v>1.3899999999999999E-2</v>
      </c>
      <c r="M141" s="412">
        <v>1.201E-2</v>
      </c>
      <c r="N141" s="413">
        <v>1E-4</v>
      </c>
      <c r="O141" s="414">
        <v>4.3685</v>
      </c>
      <c r="P141" s="415">
        <v>0.88500000000000001</v>
      </c>
      <c r="Q141" s="415">
        <v>0.45729999999999998</v>
      </c>
      <c r="R141" s="415">
        <v>0.1484</v>
      </c>
      <c r="S141" s="415">
        <v>-0.12859999999999999</v>
      </c>
      <c r="T141" s="415">
        <v>-7.9399999999999998E-2</v>
      </c>
      <c r="U141" s="415">
        <v>4.0800000000000003E-2</v>
      </c>
      <c r="V141" s="415">
        <v>3.9600000000000003E-2</v>
      </c>
      <c r="W141" s="415">
        <v>3.6999999999999998E-2</v>
      </c>
      <c r="X141" s="416">
        <v>3.5623</v>
      </c>
      <c r="Y141" s="418">
        <v>0.19489999999999999</v>
      </c>
      <c r="Z141" s="418">
        <v>0.19289999999999999</v>
      </c>
      <c r="AA141" s="418">
        <v>0.1203</v>
      </c>
      <c r="AB141" s="419">
        <v>15038.053900000001</v>
      </c>
      <c r="AC141" s="419">
        <v>2660.9178000000002</v>
      </c>
      <c r="AD141" s="419">
        <v>2126.3454000000002</v>
      </c>
      <c r="AE141" s="419">
        <v>409.96969999999999</v>
      </c>
      <c r="AF141" s="420">
        <v>0.14030000000000001</v>
      </c>
      <c r="AG141" s="370"/>
    </row>
    <row r="142" spans="1:33">
      <c r="A142" s="370"/>
      <c r="B142" s="406">
        <f t="shared" si="3"/>
        <v>137</v>
      </c>
      <c r="C142" s="407">
        <v>0.1183</v>
      </c>
      <c r="D142" s="407">
        <v>1.4E-3</v>
      </c>
      <c r="E142" s="407">
        <v>-0.27739999999999998</v>
      </c>
      <c r="F142" s="407">
        <v>1.0999999999999999E-2</v>
      </c>
      <c r="G142" s="407">
        <v>-3.5000000000000001E-3</v>
      </c>
      <c r="H142" s="407">
        <v>-5.0000000000000001E-3</v>
      </c>
      <c r="I142" s="409">
        <v>7.1000000000000004E-3</v>
      </c>
      <c r="J142" s="407">
        <v>6.9999999999999999E-4</v>
      </c>
      <c r="K142" s="410">
        <v>1.3058000000000001</v>
      </c>
      <c r="L142" s="422">
        <v>1.3599999999999999E-2</v>
      </c>
      <c r="M142" s="412">
        <v>1.221E-2</v>
      </c>
      <c r="N142" s="413">
        <v>1E-4</v>
      </c>
      <c r="O142" s="414">
        <v>4.2888999999999999</v>
      </c>
      <c r="P142" s="415">
        <v>0.86890000000000001</v>
      </c>
      <c r="Q142" s="415">
        <v>0.44900000000000001</v>
      </c>
      <c r="R142" s="415">
        <v>0.1457</v>
      </c>
      <c r="S142" s="415">
        <v>-0.12620000000000001</v>
      </c>
      <c r="T142" s="415">
        <v>-7.8E-2</v>
      </c>
      <c r="U142" s="415">
        <v>4.0099999999999997E-2</v>
      </c>
      <c r="V142" s="415">
        <v>3.8899999999999997E-2</v>
      </c>
      <c r="W142" s="415">
        <v>3.6400000000000002E-2</v>
      </c>
      <c r="X142" s="416">
        <v>3.4973999999999998</v>
      </c>
      <c r="Y142" s="418">
        <v>0.19139999999999999</v>
      </c>
      <c r="Z142" s="418">
        <v>0.18940000000000001</v>
      </c>
      <c r="AA142" s="418">
        <v>0.1181</v>
      </c>
      <c r="AB142" s="419">
        <v>15289.2088</v>
      </c>
      <c r="AC142" s="419">
        <v>2705.3584999999998</v>
      </c>
      <c r="AD142" s="419">
        <v>2161.8580999999999</v>
      </c>
      <c r="AE142" s="419">
        <v>416.8168</v>
      </c>
      <c r="AF142" s="420">
        <v>0.1343</v>
      </c>
      <c r="AG142" s="370"/>
    </row>
    <row r="143" spans="1:33">
      <c r="A143" s="370"/>
      <c r="B143" s="406">
        <f t="shared" si="3"/>
        <v>138</v>
      </c>
      <c r="C143" s="407">
        <v>0.11600000000000001</v>
      </c>
      <c r="D143" s="407">
        <v>1.4E-3</v>
      </c>
      <c r="E143" s="407">
        <v>-0.2722</v>
      </c>
      <c r="F143" s="407">
        <v>1.0800000000000001E-2</v>
      </c>
      <c r="G143" s="407">
        <v>-3.3999999999999998E-3</v>
      </c>
      <c r="H143" s="407">
        <v>-5.0000000000000001E-3</v>
      </c>
      <c r="I143" s="409">
        <v>7.0000000000000001E-3</v>
      </c>
      <c r="J143" s="407">
        <v>6.9999999999999999E-4</v>
      </c>
      <c r="K143" s="410">
        <v>1.2810999999999999</v>
      </c>
      <c r="L143" s="422">
        <v>1.34E-2</v>
      </c>
      <c r="M143" s="412">
        <v>1.2409999999999999E-2</v>
      </c>
      <c r="N143" s="413">
        <v>1E-4</v>
      </c>
      <c r="O143" s="414">
        <v>4.2080000000000002</v>
      </c>
      <c r="P143" s="415">
        <v>0.85250000000000004</v>
      </c>
      <c r="Q143" s="415">
        <v>0.4405</v>
      </c>
      <c r="R143" s="415">
        <v>0.1429</v>
      </c>
      <c r="S143" s="415">
        <v>-0.1239</v>
      </c>
      <c r="T143" s="415">
        <v>-7.6499999999999999E-2</v>
      </c>
      <c r="U143" s="415">
        <v>3.9300000000000002E-2</v>
      </c>
      <c r="V143" s="415">
        <v>3.8199999999999998E-2</v>
      </c>
      <c r="W143" s="415">
        <v>3.5700000000000003E-2</v>
      </c>
      <c r="X143" s="416">
        <v>3.4314</v>
      </c>
      <c r="Y143" s="418">
        <v>0.18779999999999999</v>
      </c>
      <c r="Z143" s="418">
        <v>0.18579999999999999</v>
      </c>
      <c r="AA143" s="418">
        <v>0.1159</v>
      </c>
      <c r="AB143" s="419">
        <v>15535.706399999999</v>
      </c>
      <c r="AC143" s="419">
        <v>2748.9751999999999</v>
      </c>
      <c r="AD143" s="419">
        <v>2196.7123000000001</v>
      </c>
      <c r="AE143" s="419">
        <v>423.53680000000003</v>
      </c>
      <c r="AF143" s="420">
        <v>0.12839999999999999</v>
      </c>
      <c r="AG143" s="370"/>
    </row>
    <row r="144" spans="1:33">
      <c r="A144" s="370"/>
      <c r="B144" s="406">
        <f t="shared" si="3"/>
        <v>139</v>
      </c>
      <c r="C144" s="407">
        <v>0.1138</v>
      </c>
      <c r="D144" s="407">
        <v>1.4E-3</v>
      </c>
      <c r="E144" s="407">
        <v>-0.26690000000000003</v>
      </c>
      <c r="F144" s="407">
        <v>1.06E-2</v>
      </c>
      <c r="G144" s="407">
        <v>-3.3E-3</v>
      </c>
      <c r="H144" s="407">
        <v>-4.8999999999999998E-3</v>
      </c>
      <c r="I144" s="409">
        <v>6.7999999999999996E-3</v>
      </c>
      <c r="J144" s="407">
        <v>6.9999999999999999E-4</v>
      </c>
      <c r="K144" s="410">
        <v>1.2561</v>
      </c>
      <c r="L144" s="422">
        <v>1.3100000000000001E-2</v>
      </c>
      <c r="M144" s="412">
        <v>1.26E-2</v>
      </c>
      <c r="N144" s="413">
        <v>1.1E-4</v>
      </c>
      <c r="O144" s="414">
        <v>4.1257999999999999</v>
      </c>
      <c r="P144" s="415">
        <v>0.83579999999999999</v>
      </c>
      <c r="Q144" s="415">
        <v>0.43190000000000001</v>
      </c>
      <c r="R144" s="415">
        <v>0.1401</v>
      </c>
      <c r="S144" s="415">
        <v>-0.12139999999999999</v>
      </c>
      <c r="T144" s="415">
        <v>-7.4999999999999997E-2</v>
      </c>
      <c r="U144" s="415">
        <v>3.8600000000000002E-2</v>
      </c>
      <c r="V144" s="415">
        <v>3.7400000000000003E-2</v>
      </c>
      <c r="W144" s="415">
        <v>3.5000000000000003E-2</v>
      </c>
      <c r="X144" s="416">
        <v>3.3643999999999998</v>
      </c>
      <c r="Y144" s="418">
        <v>0.18410000000000001</v>
      </c>
      <c r="Z144" s="418">
        <v>0.1822</v>
      </c>
      <c r="AA144" s="418">
        <v>0.1137</v>
      </c>
      <c r="AB144" s="419">
        <v>15777.4717</v>
      </c>
      <c r="AC144" s="419">
        <v>2791.7545</v>
      </c>
      <c r="AD144" s="419">
        <v>2230.8973999999998</v>
      </c>
      <c r="AE144" s="419">
        <v>430.12790000000001</v>
      </c>
      <c r="AF144" s="420">
        <v>0.1226</v>
      </c>
      <c r="AG144" s="370"/>
    </row>
    <row r="145" spans="1:33">
      <c r="A145" s="370"/>
      <c r="B145" s="406">
        <f t="shared" si="3"/>
        <v>140</v>
      </c>
      <c r="C145" s="407">
        <v>0.1115</v>
      </c>
      <c r="D145" s="407">
        <v>1.2999999999999999E-3</v>
      </c>
      <c r="E145" s="407">
        <v>-0.26150000000000001</v>
      </c>
      <c r="F145" s="407">
        <v>1.03E-2</v>
      </c>
      <c r="G145" s="407">
        <v>-3.3E-3</v>
      </c>
      <c r="H145" s="407">
        <v>-4.7999999999999996E-3</v>
      </c>
      <c r="I145" s="409">
        <v>6.7000000000000002E-3</v>
      </c>
      <c r="J145" s="407">
        <v>5.9999999999999995E-4</v>
      </c>
      <c r="K145" s="410">
        <v>1.2306999999999999</v>
      </c>
      <c r="L145" s="422">
        <v>1.29E-2</v>
      </c>
      <c r="M145" s="412">
        <v>1.2789999999999999E-2</v>
      </c>
      <c r="N145" s="413">
        <v>1.1E-4</v>
      </c>
      <c r="O145" s="414">
        <v>4.0423</v>
      </c>
      <c r="P145" s="415">
        <v>0.81889999999999996</v>
      </c>
      <c r="Q145" s="415">
        <v>0.42320000000000002</v>
      </c>
      <c r="R145" s="415">
        <v>0.13730000000000001</v>
      </c>
      <c r="S145" s="415">
        <v>-0.11899999999999999</v>
      </c>
      <c r="T145" s="415">
        <v>-7.3499999999999996E-2</v>
      </c>
      <c r="U145" s="415">
        <v>3.78E-2</v>
      </c>
      <c r="V145" s="415">
        <v>3.6700000000000003E-2</v>
      </c>
      <c r="W145" s="415">
        <v>3.4299999999999997E-2</v>
      </c>
      <c r="X145" s="416">
        <v>3.2963</v>
      </c>
      <c r="Y145" s="418">
        <v>0.1804</v>
      </c>
      <c r="Z145" s="418">
        <v>0.17849999999999999</v>
      </c>
      <c r="AA145" s="418">
        <v>0.1114</v>
      </c>
      <c r="AB145" s="419">
        <v>16014.431</v>
      </c>
      <c r="AC145" s="419">
        <v>2833.6833999999999</v>
      </c>
      <c r="AD145" s="419">
        <v>2264.4029</v>
      </c>
      <c r="AE145" s="419">
        <v>436.58789999999999</v>
      </c>
      <c r="AF145" s="420">
        <v>0.11700000000000001</v>
      </c>
      <c r="AG145" s="370"/>
    </row>
    <row r="146" spans="1:33">
      <c r="A146" s="370"/>
      <c r="B146" s="406">
        <f t="shared" si="3"/>
        <v>141</v>
      </c>
      <c r="C146" s="407">
        <v>0.1091</v>
      </c>
      <c r="D146" s="407">
        <v>1.2999999999999999E-3</v>
      </c>
      <c r="E146" s="407">
        <v>-0.25600000000000001</v>
      </c>
      <c r="F146" s="407">
        <v>1.01E-2</v>
      </c>
      <c r="G146" s="407">
        <v>-3.2000000000000002E-3</v>
      </c>
      <c r="H146" s="407">
        <v>-4.7000000000000002E-3</v>
      </c>
      <c r="I146" s="409">
        <v>6.4999999999999997E-3</v>
      </c>
      <c r="J146" s="407">
        <v>5.9999999999999995E-4</v>
      </c>
      <c r="K146" s="410">
        <v>1.2049000000000001</v>
      </c>
      <c r="L146" s="422">
        <v>1.26E-2</v>
      </c>
      <c r="M146" s="412">
        <v>1.298E-2</v>
      </c>
      <c r="N146" s="413">
        <v>1.1E-4</v>
      </c>
      <c r="O146" s="414">
        <v>3.9577</v>
      </c>
      <c r="P146" s="415">
        <v>0.80179999999999996</v>
      </c>
      <c r="Q146" s="415">
        <v>0.4143</v>
      </c>
      <c r="R146" s="415">
        <v>0.13439999999999999</v>
      </c>
      <c r="S146" s="415">
        <v>-0.11650000000000001</v>
      </c>
      <c r="T146" s="415">
        <v>-7.1999999999999995E-2</v>
      </c>
      <c r="U146" s="415">
        <v>3.6999999999999998E-2</v>
      </c>
      <c r="V146" s="415">
        <v>3.5900000000000001E-2</v>
      </c>
      <c r="W146" s="415">
        <v>3.3599999999999998E-2</v>
      </c>
      <c r="X146" s="416">
        <v>3.2273000000000001</v>
      </c>
      <c r="Y146" s="418">
        <v>0.17660000000000001</v>
      </c>
      <c r="Z146" s="418">
        <v>0.17480000000000001</v>
      </c>
      <c r="AA146" s="418">
        <v>0.109</v>
      </c>
      <c r="AB146" s="419">
        <v>16246.512199999999</v>
      </c>
      <c r="AC146" s="419">
        <v>2874.7492000000002</v>
      </c>
      <c r="AD146" s="419">
        <v>2297.2186000000002</v>
      </c>
      <c r="AE146" s="419">
        <v>442.91489999999999</v>
      </c>
      <c r="AF146" s="420">
        <v>0.1114</v>
      </c>
      <c r="AG146" s="370"/>
    </row>
    <row r="147" spans="1:33">
      <c r="A147" s="370"/>
      <c r="B147" s="406">
        <f t="shared" si="3"/>
        <v>142</v>
      </c>
      <c r="C147" s="407">
        <v>0.10680000000000001</v>
      </c>
      <c r="D147" s="407">
        <v>1.2999999999999999E-3</v>
      </c>
      <c r="E147" s="407">
        <v>-0.2505</v>
      </c>
      <c r="F147" s="407">
        <v>9.9000000000000008E-3</v>
      </c>
      <c r="G147" s="407">
        <v>-3.0999999999999999E-3</v>
      </c>
      <c r="H147" s="407">
        <v>-4.5999999999999999E-3</v>
      </c>
      <c r="I147" s="409">
        <v>6.4000000000000003E-3</v>
      </c>
      <c r="J147" s="407">
        <v>5.9999999999999995E-4</v>
      </c>
      <c r="K147" s="410">
        <v>1.1787000000000001</v>
      </c>
      <c r="L147" s="422">
        <v>1.23E-2</v>
      </c>
      <c r="M147" s="412">
        <v>1.316E-2</v>
      </c>
      <c r="N147" s="413">
        <v>1.1E-4</v>
      </c>
      <c r="O147" s="414">
        <v>3.8717999999999999</v>
      </c>
      <c r="P147" s="415">
        <v>0.78439999999999999</v>
      </c>
      <c r="Q147" s="415">
        <v>0.40529999999999999</v>
      </c>
      <c r="R147" s="415">
        <v>0.13150000000000001</v>
      </c>
      <c r="S147" s="415">
        <v>-0.114</v>
      </c>
      <c r="T147" s="415">
        <v>-7.0400000000000004E-2</v>
      </c>
      <c r="U147" s="415">
        <v>3.6200000000000003E-2</v>
      </c>
      <c r="V147" s="415">
        <v>3.5099999999999999E-2</v>
      </c>
      <c r="W147" s="415">
        <v>3.2800000000000003E-2</v>
      </c>
      <c r="X147" s="416">
        <v>3.1572</v>
      </c>
      <c r="Y147" s="418">
        <v>0.17280000000000001</v>
      </c>
      <c r="Z147" s="418">
        <v>0.17100000000000001</v>
      </c>
      <c r="AA147" s="418">
        <v>0.1067</v>
      </c>
      <c r="AB147" s="419">
        <v>16473.644499999999</v>
      </c>
      <c r="AC147" s="419">
        <v>2914.9391999999998</v>
      </c>
      <c r="AD147" s="419">
        <v>2329.3346000000001</v>
      </c>
      <c r="AE147" s="419">
        <v>449.10700000000003</v>
      </c>
      <c r="AF147" s="420">
        <v>0.106</v>
      </c>
      <c r="AG147" s="370"/>
    </row>
    <row r="148" spans="1:33">
      <c r="A148" s="370"/>
      <c r="B148" s="406">
        <f t="shared" si="3"/>
        <v>143</v>
      </c>
      <c r="C148" s="407">
        <v>0.10440000000000001</v>
      </c>
      <c r="D148" s="407">
        <v>1.2999999999999999E-3</v>
      </c>
      <c r="E148" s="407">
        <v>-0.24479999999999999</v>
      </c>
      <c r="F148" s="407">
        <v>9.7000000000000003E-3</v>
      </c>
      <c r="G148" s="407">
        <v>-3.0999999999999999E-3</v>
      </c>
      <c r="H148" s="407">
        <v>-4.4999999999999997E-3</v>
      </c>
      <c r="I148" s="409">
        <v>6.3E-3</v>
      </c>
      <c r="J148" s="407">
        <v>5.9999999999999995E-4</v>
      </c>
      <c r="K148" s="410">
        <v>1.1521999999999999</v>
      </c>
      <c r="L148" s="422">
        <v>1.2E-2</v>
      </c>
      <c r="M148" s="412">
        <v>1.3339999999999999E-2</v>
      </c>
      <c r="N148" s="413">
        <v>1.1E-4</v>
      </c>
      <c r="O148" s="414">
        <v>3.7847</v>
      </c>
      <c r="P148" s="415">
        <v>0.76670000000000005</v>
      </c>
      <c r="Q148" s="415">
        <v>0.3962</v>
      </c>
      <c r="R148" s="415">
        <v>0.12859999999999999</v>
      </c>
      <c r="S148" s="415">
        <v>-0.1114</v>
      </c>
      <c r="T148" s="415">
        <v>-6.88E-2</v>
      </c>
      <c r="U148" s="415">
        <v>3.5400000000000001E-2</v>
      </c>
      <c r="V148" s="415">
        <v>3.4299999999999997E-2</v>
      </c>
      <c r="W148" s="415">
        <v>3.2099999999999997E-2</v>
      </c>
      <c r="X148" s="416">
        <v>3.0861999999999998</v>
      </c>
      <c r="Y148" s="418">
        <v>0.16889999999999999</v>
      </c>
      <c r="Z148" s="418">
        <v>0.1671</v>
      </c>
      <c r="AA148" s="418">
        <v>0.1043</v>
      </c>
      <c r="AB148" s="419">
        <v>16695.758900000001</v>
      </c>
      <c r="AC148" s="419">
        <v>2954.2413999999999</v>
      </c>
      <c r="AD148" s="419">
        <v>2360.741</v>
      </c>
      <c r="AE148" s="419">
        <v>455.16230000000002</v>
      </c>
      <c r="AF148" s="420">
        <v>0.1007</v>
      </c>
      <c r="AG148" s="370"/>
    </row>
    <row r="149" spans="1:33">
      <c r="A149" s="370"/>
      <c r="B149" s="406">
        <f t="shared" si="3"/>
        <v>144</v>
      </c>
      <c r="C149" s="407">
        <v>0.1019</v>
      </c>
      <c r="D149" s="407">
        <v>1.1999999999999999E-3</v>
      </c>
      <c r="E149" s="407">
        <v>-0.23910000000000001</v>
      </c>
      <c r="F149" s="407">
        <v>9.4999999999999998E-3</v>
      </c>
      <c r="G149" s="407">
        <v>-3.0000000000000001E-3</v>
      </c>
      <c r="H149" s="407">
        <v>-4.3E-3</v>
      </c>
      <c r="I149" s="409">
        <v>6.1000000000000004E-3</v>
      </c>
      <c r="J149" s="407">
        <v>5.9999999999999995E-4</v>
      </c>
      <c r="K149" s="410">
        <v>1.1254</v>
      </c>
      <c r="L149" s="422">
        <v>1.18E-2</v>
      </c>
      <c r="M149" s="412">
        <v>1.3509999999999999E-2</v>
      </c>
      <c r="N149" s="413">
        <v>1.1E-4</v>
      </c>
      <c r="O149" s="414">
        <v>3.6964000000000001</v>
      </c>
      <c r="P149" s="415">
        <v>0.74890000000000001</v>
      </c>
      <c r="Q149" s="415">
        <v>0.38690000000000002</v>
      </c>
      <c r="R149" s="415">
        <v>0.12559999999999999</v>
      </c>
      <c r="S149" s="415">
        <v>-0.10879999999999999</v>
      </c>
      <c r="T149" s="415">
        <v>-6.7199999999999996E-2</v>
      </c>
      <c r="U149" s="415">
        <v>3.4599999999999999E-2</v>
      </c>
      <c r="V149" s="415">
        <v>3.3500000000000002E-2</v>
      </c>
      <c r="W149" s="415">
        <v>3.1300000000000001E-2</v>
      </c>
      <c r="X149" s="416">
        <v>3.0143</v>
      </c>
      <c r="Y149" s="418">
        <v>0.16489999999999999</v>
      </c>
      <c r="Z149" s="418">
        <v>0.16320000000000001</v>
      </c>
      <c r="AA149" s="418">
        <v>0.1018</v>
      </c>
      <c r="AB149" s="419">
        <v>16912.787499999999</v>
      </c>
      <c r="AC149" s="419">
        <v>2992.6437000000001</v>
      </c>
      <c r="AD149" s="419">
        <v>2391.4283</v>
      </c>
      <c r="AE149" s="419">
        <v>461.07900000000001</v>
      </c>
      <c r="AF149" s="420">
        <v>9.5500000000000002E-2</v>
      </c>
      <c r="AG149" s="370"/>
    </row>
    <row r="150" spans="1:33">
      <c r="A150" s="370"/>
      <c r="B150" s="406">
        <f t="shared" si="3"/>
        <v>145</v>
      </c>
      <c r="C150" s="407">
        <v>9.9500000000000005E-2</v>
      </c>
      <c r="D150" s="407">
        <v>1.1999999999999999E-3</v>
      </c>
      <c r="E150" s="407">
        <v>-0.23330000000000001</v>
      </c>
      <c r="F150" s="407">
        <v>9.1999999999999998E-3</v>
      </c>
      <c r="G150" s="407">
        <v>-2.8999999999999998E-3</v>
      </c>
      <c r="H150" s="407">
        <v>-4.1999999999999997E-3</v>
      </c>
      <c r="I150" s="409">
        <v>6.0000000000000001E-3</v>
      </c>
      <c r="J150" s="407">
        <v>5.9999999999999995E-4</v>
      </c>
      <c r="K150" s="410">
        <v>1.0982000000000001</v>
      </c>
      <c r="L150" s="422">
        <v>1.15E-2</v>
      </c>
      <c r="M150" s="412">
        <v>1.3679999999999999E-2</v>
      </c>
      <c r="N150" s="413">
        <v>1.1E-4</v>
      </c>
      <c r="O150" s="414">
        <v>3.6071</v>
      </c>
      <c r="P150" s="415">
        <v>0.73080000000000001</v>
      </c>
      <c r="Q150" s="415">
        <v>0.37759999999999999</v>
      </c>
      <c r="R150" s="415">
        <v>0.1225</v>
      </c>
      <c r="S150" s="415">
        <v>-0.1062</v>
      </c>
      <c r="T150" s="415">
        <v>-6.5600000000000006E-2</v>
      </c>
      <c r="U150" s="415">
        <v>3.3700000000000001E-2</v>
      </c>
      <c r="V150" s="415">
        <v>3.27E-2</v>
      </c>
      <c r="W150" s="415">
        <v>3.0599999999999999E-2</v>
      </c>
      <c r="X150" s="416">
        <v>2.9413999999999998</v>
      </c>
      <c r="Y150" s="418">
        <v>0.16089999999999999</v>
      </c>
      <c r="Z150" s="418">
        <v>0.1593</v>
      </c>
      <c r="AA150" s="418">
        <v>9.9400000000000002E-2</v>
      </c>
      <c r="AB150" s="419">
        <v>17124.6643</v>
      </c>
      <c r="AC150" s="419">
        <v>3030.1343000000002</v>
      </c>
      <c r="AD150" s="419">
        <v>2421.3872000000001</v>
      </c>
      <c r="AE150" s="419">
        <v>466.85520000000002</v>
      </c>
      <c r="AF150" s="420">
        <v>9.0399999999999994E-2</v>
      </c>
      <c r="AG150" s="370"/>
    </row>
    <row r="151" spans="1:33">
      <c r="A151" s="370"/>
      <c r="B151" s="406">
        <f t="shared" si="3"/>
        <v>146</v>
      </c>
      <c r="C151" s="407">
        <v>9.7000000000000003E-2</v>
      </c>
      <c r="D151" s="407">
        <v>1.1999999999999999E-3</v>
      </c>
      <c r="E151" s="407">
        <v>-0.22750000000000001</v>
      </c>
      <c r="F151" s="407">
        <v>8.9999999999999993E-3</v>
      </c>
      <c r="G151" s="407">
        <v>-2.8999999999999998E-3</v>
      </c>
      <c r="H151" s="407">
        <v>-4.1000000000000003E-3</v>
      </c>
      <c r="I151" s="409">
        <v>5.7999999999999996E-3</v>
      </c>
      <c r="J151" s="407">
        <v>5.9999999999999995E-4</v>
      </c>
      <c r="K151" s="410">
        <v>1.0706</v>
      </c>
      <c r="L151" s="422">
        <v>1.12E-2</v>
      </c>
      <c r="M151" s="412">
        <v>1.384E-2</v>
      </c>
      <c r="N151" s="413">
        <v>1.2E-4</v>
      </c>
      <c r="O151" s="414">
        <v>3.5165999999999999</v>
      </c>
      <c r="P151" s="415">
        <v>0.71240000000000003</v>
      </c>
      <c r="Q151" s="415">
        <v>0.36809999999999998</v>
      </c>
      <c r="R151" s="415">
        <v>0.1195</v>
      </c>
      <c r="S151" s="415">
        <v>-0.10349999999999999</v>
      </c>
      <c r="T151" s="415">
        <v>-6.3899999999999998E-2</v>
      </c>
      <c r="U151" s="415">
        <v>3.2899999999999999E-2</v>
      </c>
      <c r="V151" s="415">
        <v>3.1899999999999998E-2</v>
      </c>
      <c r="W151" s="415">
        <v>2.98E-2</v>
      </c>
      <c r="X151" s="416">
        <v>2.8675999999999999</v>
      </c>
      <c r="Y151" s="418">
        <v>0.15690000000000001</v>
      </c>
      <c r="Z151" s="418">
        <v>0.15529999999999999</v>
      </c>
      <c r="AA151" s="418">
        <v>9.69E-2</v>
      </c>
      <c r="AB151" s="419">
        <v>17331.324799999999</v>
      </c>
      <c r="AC151" s="419">
        <v>3066.7020000000002</v>
      </c>
      <c r="AD151" s="419">
        <v>2450.6084999999998</v>
      </c>
      <c r="AE151" s="419">
        <v>472.48919999999998</v>
      </c>
      <c r="AF151" s="420">
        <v>8.5500000000000007E-2</v>
      </c>
      <c r="AG151" s="370"/>
    </row>
    <row r="152" spans="1:33">
      <c r="A152" s="370"/>
      <c r="B152" s="406">
        <f t="shared" si="3"/>
        <v>147</v>
      </c>
      <c r="C152" s="407">
        <v>9.4399999999999998E-2</v>
      </c>
      <c r="D152" s="407">
        <v>1.1000000000000001E-3</v>
      </c>
      <c r="E152" s="407">
        <v>-0.22159999999999999</v>
      </c>
      <c r="F152" s="407">
        <v>8.8000000000000005E-3</v>
      </c>
      <c r="G152" s="407">
        <v>-2.8E-3</v>
      </c>
      <c r="H152" s="407">
        <v>-4.0000000000000001E-3</v>
      </c>
      <c r="I152" s="409">
        <v>5.7000000000000002E-3</v>
      </c>
      <c r="J152" s="407">
        <v>5.0000000000000001E-4</v>
      </c>
      <c r="K152" s="410">
        <v>1.0427999999999999</v>
      </c>
      <c r="L152" s="422">
        <v>1.09E-2</v>
      </c>
      <c r="M152" s="412">
        <v>1.401E-2</v>
      </c>
      <c r="N152" s="413">
        <v>1.2E-4</v>
      </c>
      <c r="O152" s="414">
        <v>3.4251</v>
      </c>
      <c r="P152" s="415">
        <v>0.69389999999999996</v>
      </c>
      <c r="Q152" s="415">
        <v>0.35849999999999999</v>
      </c>
      <c r="R152" s="415">
        <v>0.1163</v>
      </c>
      <c r="S152" s="415">
        <v>-0.1008</v>
      </c>
      <c r="T152" s="415">
        <v>-6.2300000000000001E-2</v>
      </c>
      <c r="U152" s="415">
        <v>3.2000000000000001E-2</v>
      </c>
      <c r="V152" s="415">
        <v>3.1099999999999999E-2</v>
      </c>
      <c r="W152" s="415">
        <v>2.9000000000000001E-2</v>
      </c>
      <c r="X152" s="416">
        <v>2.7930000000000001</v>
      </c>
      <c r="Y152" s="418">
        <v>0.15279999999999999</v>
      </c>
      <c r="Z152" s="418">
        <v>0.1512</v>
      </c>
      <c r="AA152" s="418">
        <v>9.4399999999999998E-2</v>
      </c>
      <c r="AB152" s="419">
        <v>17532.705999999998</v>
      </c>
      <c r="AC152" s="419">
        <v>3102.3355000000001</v>
      </c>
      <c r="AD152" s="419">
        <v>2479.0834</v>
      </c>
      <c r="AE152" s="419">
        <v>477.97930000000002</v>
      </c>
      <c r="AF152" s="420">
        <v>8.0699999999999994E-2</v>
      </c>
      <c r="AG152" s="370"/>
    </row>
    <row r="153" spans="1:33">
      <c r="A153" s="370"/>
      <c r="B153" s="406">
        <f t="shared" si="3"/>
        <v>148</v>
      </c>
      <c r="C153" s="407">
        <v>9.1899999999999996E-2</v>
      </c>
      <c r="D153" s="407">
        <v>1.1000000000000001E-3</v>
      </c>
      <c r="E153" s="407">
        <v>-0.21560000000000001</v>
      </c>
      <c r="F153" s="407">
        <v>8.5000000000000006E-3</v>
      </c>
      <c r="G153" s="407">
        <v>-2.7000000000000001E-3</v>
      </c>
      <c r="H153" s="407">
        <v>-3.8999999999999998E-3</v>
      </c>
      <c r="I153" s="409">
        <v>5.4999999999999997E-3</v>
      </c>
      <c r="J153" s="407">
        <v>5.0000000000000001E-4</v>
      </c>
      <c r="K153" s="410">
        <v>1.0145999999999999</v>
      </c>
      <c r="L153" s="422">
        <v>1.06E-2</v>
      </c>
      <c r="M153" s="412">
        <v>1.4160000000000001E-2</v>
      </c>
      <c r="N153" s="413">
        <v>1.2E-4</v>
      </c>
      <c r="O153" s="414">
        <v>3.3325</v>
      </c>
      <c r="P153" s="415">
        <v>0.67510000000000003</v>
      </c>
      <c r="Q153" s="415">
        <v>0.34889999999999999</v>
      </c>
      <c r="R153" s="415">
        <v>0.1132</v>
      </c>
      <c r="S153" s="415">
        <v>-9.8100000000000007E-2</v>
      </c>
      <c r="T153" s="415">
        <v>-6.0600000000000001E-2</v>
      </c>
      <c r="U153" s="415">
        <v>3.1199999999999999E-2</v>
      </c>
      <c r="V153" s="415">
        <v>3.0200000000000001E-2</v>
      </c>
      <c r="W153" s="415">
        <v>2.8299999999999999E-2</v>
      </c>
      <c r="X153" s="416">
        <v>2.7174999999999998</v>
      </c>
      <c r="Y153" s="418">
        <v>0.1487</v>
      </c>
      <c r="Z153" s="418">
        <v>0.1472</v>
      </c>
      <c r="AA153" s="418">
        <v>9.1800000000000007E-2</v>
      </c>
      <c r="AB153" s="419">
        <v>17728.746500000001</v>
      </c>
      <c r="AC153" s="419">
        <v>3137.0239999999999</v>
      </c>
      <c r="AD153" s="419">
        <v>2506.8029999999999</v>
      </c>
      <c r="AE153" s="419">
        <v>483.32380000000001</v>
      </c>
      <c r="AF153" s="420">
        <v>7.5999999999999998E-2</v>
      </c>
      <c r="AG153" s="370"/>
    </row>
    <row r="154" spans="1:33">
      <c r="A154" s="370"/>
      <c r="B154" s="406">
        <f t="shared" si="3"/>
        <v>149</v>
      </c>
      <c r="C154" s="407">
        <v>8.9300000000000004E-2</v>
      </c>
      <c r="D154" s="407">
        <v>1.1000000000000001E-3</v>
      </c>
      <c r="E154" s="407">
        <v>-0.20949999999999999</v>
      </c>
      <c r="F154" s="407">
        <v>8.3000000000000001E-3</v>
      </c>
      <c r="G154" s="407">
        <v>-2.5999999999999999E-3</v>
      </c>
      <c r="H154" s="407">
        <v>-3.8E-3</v>
      </c>
      <c r="I154" s="409">
        <v>5.4000000000000003E-3</v>
      </c>
      <c r="J154" s="407">
        <v>5.0000000000000001E-4</v>
      </c>
      <c r="K154" s="410">
        <v>0.98609999999999998</v>
      </c>
      <c r="L154" s="422">
        <v>1.03E-2</v>
      </c>
      <c r="M154" s="412">
        <v>1.431E-2</v>
      </c>
      <c r="N154" s="413">
        <v>1.2E-4</v>
      </c>
      <c r="O154" s="414">
        <v>3.2389999999999999</v>
      </c>
      <c r="P154" s="415">
        <v>0.65620000000000001</v>
      </c>
      <c r="Q154" s="415">
        <v>0.33910000000000001</v>
      </c>
      <c r="R154" s="415">
        <v>0.11</v>
      </c>
      <c r="S154" s="415">
        <v>-9.5299999999999996E-2</v>
      </c>
      <c r="T154" s="415">
        <v>-5.8900000000000001E-2</v>
      </c>
      <c r="U154" s="415">
        <v>3.0300000000000001E-2</v>
      </c>
      <c r="V154" s="415">
        <v>2.9399999999999999E-2</v>
      </c>
      <c r="W154" s="415">
        <v>2.75E-2</v>
      </c>
      <c r="X154" s="416">
        <v>2.6412</v>
      </c>
      <c r="Y154" s="418">
        <v>0.14449999999999999</v>
      </c>
      <c r="Z154" s="418">
        <v>0.14299999999999999</v>
      </c>
      <c r="AA154" s="418">
        <v>8.9200000000000002E-2</v>
      </c>
      <c r="AB154" s="419">
        <v>17919.386699999999</v>
      </c>
      <c r="AC154" s="419">
        <v>3170.7570000000001</v>
      </c>
      <c r="AD154" s="419">
        <v>2533.7591000000002</v>
      </c>
      <c r="AE154" s="419">
        <v>488.52109999999999</v>
      </c>
      <c r="AF154" s="420">
        <v>7.1400000000000005E-2</v>
      </c>
      <c r="AG154" s="370"/>
    </row>
    <row r="155" spans="1:33">
      <c r="A155" s="370"/>
      <c r="B155" s="406">
        <f t="shared" si="3"/>
        <v>150</v>
      </c>
      <c r="C155" s="407">
        <v>8.6699999999999999E-2</v>
      </c>
      <c r="D155" s="407">
        <v>1.1000000000000001E-3</v>
      </c>
      <c r="E155" s="407">
        <v>-0.2034</v>
      </c>
      <c r="F155" s="407">
        <v>8.0999999999999996E-3</v>
      </c>
      <c r="G155" s="407">
        <v>-2.5999999999999999E-3</v>
      </c>
      <c r="H155" s="407">
        <v>-3.7000000000000002E-3</v>
      </c>
      <c r="I155" s="409">
        <v>5.1999999999999998E-3</v>
      </c>
      <c r="J155" s="407">
        <v>5.0000000000000001E-4</v>
      </c>
      <c r="K155" s="410">
        <v>0.95730000000000004</v>
      </c>
      <c r="L155" s="422">
        <v>0.01</v>
      </c>
      <c r="M155" s="412">
        <v>1.4460000000000001E-2</v>
      </c>
      <c r="N155" s="413">
        <v>1.2E-4</v>
      </c>
      <c r="O155" s="414">
        <v>3.1444000000000001</v>
      </c>
      <c r="P155" s="415">
        <v>0.63700000000000001</v>
      </c>
      <c r="Q155" s="415">
        <v>0.32919999999999999</v>
      </c>
      <c r="R155" s="415">
        <v>0.10680000000000001</v>
      </c>
      <c r="S155" s="415">
        <v>-9.2600000000000002E-2</v>
      </c>
      <c r="T155" s="415">
        <v>-5.7200000000000001E-2</v>
      </c>
      <c r="U155" s="415">
        <v>2.9399999999999999E-2</v>
      </c>
      <c r="V155" s="415">
        <v>2.8500000000000001E-2</v>
      </c>
      <c r="W155" s="415">
        <v>2.6700000000000002E-2</v>
      </c>
      <c r="X155" s="416">
        <v>2.5640999999999998</v>
      </c>
      <c r="Y155" s="418">
        <v>0.14030000000000001</v>
      </c>
      <c r="Z155" s="418">
        <v>0.13880000000000001</v>
      </c>
      <c r="AA155" s="418">
        <v>8.6599999999999996E-2</v>
      </c>
      <c r="AB155" s="419">
        <v>18104.568500000001</v>
      </c>
      <c r="AC155" s="419">
        <v>3203.5241000000001</v>
      </c>
      <c r="AD155" s="419">
        <v>2559.9434000000001</v>
      </c>
      <c r="AE155" s="419">
        <v>493.56950000000001</v>
      </c>
      <c r="AF155" s="420">
        <v>6.7000000000000004E-2</v>
      </c>
      <c r="AG155" s="370"/>
    </row>
    <row r="156" spans="1:33">
      <c r="A156" s="370"/>
      <c r="B156" s="406">
        <f t="shared" si="3"/>
        <v>151</v>
      </c>
      <c r="C156" s="407">
        <v>8.4099999999999994E-2</v>
      </c>
      <c r="D156" s="407">
        <v>1E-3</v>
      </c>
      <c r="E156" s="407">
        <v>-0.19719999999999999</v>
      </c>
      <c r="F156" s="407">
        <v>7.7999999999999996E-3</v>
      </c>
      <c r="G156" s="407">
        <v>-2.5000000000000001E-3</v>
      </c>
      <c r="H156" s="408">
        <v>-3.5999999999999999E-3</v>
      </c>
      <c r="I156" s="409">
        <v>5.0000000000000001E-3</v>
      </c>
      <c r="J156" s="407">
        <v>5.0000000000000001E-4</v>
      </c>
      <c r="K156" s="411">
        <v>0.92820000000000003</v>
      </c>
      <c r="L156" s="411">
        <v>9.7000000000000003E-3</v>
      </c>
      <c r="M156" s="412">
        <v>1.461E-2</v>
      </c>
      <c r="N156" s="423">
        <v>1.2E-4</v>
      </c>
      <c r="O156" s="424">
        <v>3.0489000000000002</v>
      </c>
      <c r="P156" s="415">
        <v>0.61770000000000003</v>
      </c>
      <c r="Q156" s="424">
        <v>0.31919999999999998</v>
      </c>
      <c r="R156" s="424">
        <v>0.1036</v>
      </c>
      <c r="S156" s="424">
        <v>-8.9700000000000002E-2</v>
      </c>
      <c r="T156" s="424">
        <v>-5.5399999999999998E-2</v>
      </c>
      <c r="U156" s="424">
        <v>2.8500000000000001E-2</v>
      </c>
      <c r="V156" s="424">
        <v>2.7699999999999999E-2</v>
      </c>
      <c r="W156" s="424">
        <v>2.5899999999999999E-2</v>
      </c>
      <c r="X156" s="416">
        <v>2.4862000000000002</v>
      </c>
      <c r="Y156" s="417">
        <v>0.13600000000000001</v>
      </c>
      <c r="Z156" s="417">
        <v>0.1346</v>
      </c>
      <c r="AA156" s="417">
        <v>8.4000000000000005E-2</v>
      </c>
      <c r="AB156" s="426">
        <v>18284.235499999999</v>
      </c>
      <c r="AC156" s="426">
        <v>3235.3154</v>
      </c>
      <c r="AD156" s="426">
        <v>2585.3479000000002</v>
      </c>
      <c r="AE156" s="426">
        <v>498.4676</v>
      </c>
      <c r="AF156" s="427">
        <v>6.2700000000000006E-2</v>
      </c>
      <c r="AG156" s="370"/>
    </row>
    <row r="157" spans="1:33">
      <c r="A157" s="370"/>
      <c r="B157" s="406">
        <f t="shared" si="3"/>
        <v>152</v>
      </c>
      <c r="C157" s="407">
        <v>8.14E-2</v>
      </c>
      <c r="D157" s="407">
        <v>1E-3</v>
      </c>
      <c r="E157" s="407">
        <v>-0.191</v>
      </c>
      <c r="F157" s="407">
        <v>7.6E-3</v>
      </c>
      <c r="G157" s="407">
        <v>-2.3999999999999998E-3</v>
      </c>
      <c r="H157" s="407">
        <v>-3.5000000000000001E-3</v>
      </c>
      <c r="I157" s="409">
        <v>4.8999999999999998E-3</v>
      </c>
      <c r="J157" s="407">
        <v>5.0000000000000001E-4</v>
      </c>
      <c r="K157" s="410">
        <v>0.89890000000000003</v>
      </c>
      <c r="L157" s="411">
        <v>9.4000000000000004E-3</v>
      </c>
      <c r="M157" s="412">
        <v>1.4749999999999999E-2</v>
      </c>
      <c r="N157" s="423">
        <v>1.2E-4</v>
      </c>
      <c r="O157" s="424">
        <v>2.9523999999999999</v>
      </c>
      <c r="P157" s="415">
        <v>0.59809999999999997</v>
      </c>
      <c r="Q157" s="415">
        <v>0.30909999999999999</v>
      </c>
      <c r="R157" s="415">
        <v>0.1003</v>
      </c>
      <c r="S157" s="415">
        <v>-8.6900000000000005E-2</v>
      </c>
      <c r="T157" s="415">
        <v>-5.3699999999999998E-2</v>
      </c>
      <c r="U157" s="415">
        <v>2.76E-2</v>
      </c>
      <c r="V157" s="415">
        <v>2.6800000000000001E-2</v>
      </c>
      <c r="W157" s="415">
        <v>2.5000000000000001E-2</v>
      </c>
      <c r="X157" s="416">
        <v>2.4075000000000002</v>
      </c>
      <c r="Y157" s="417">
        <v>0.13170000000000001</v>
      </c>
      <c r="Z157" s="417">
        <v>0.13039999999999999</v>
      </c>
      <c r="AA157" s="417">
        <v>8.1299999999999997E-2</v>
      </c>
      <c r="AB157" s="426">
        <v>18458.332900000001</v>
      </c>
      <c r="AC157" s="426">
        <v>3266.1212</v>
      </c>
      <c r="AD157" s="426">
        <v>2609.9648000000002</v>
      </c>
      <c r="AE157" s="426">
        <v>503.21390000000002</v>
      </c>
      <c r="AF157" s="427">
        <v>5.8500000000000003E-2</v>
      </c>
      <c r="AG157" s="370"/>
    </row>
    <row r="158" spans="1:33">
      <c r="A158" s="370"/>
      <c r="B158" s="406">
        <f t="shared" si="3"/>
        <v>153</v>
      </c>
      <c r="C158" s="407">
        <v>7.8700000000000006E-2</v>
      </c>
      <c r="D158" s="407">
        <v>1E-3</v>
      </c>
      <c r="E158" s="407">
        <v>-0.1847</v>
      </c>
      <c r="F158" s="407">
        <v>7.3000000000000001E-3</v>
      </c>
      <c r="G158" s="407">
        <v>-2.3E-3</v>
      </c>
      <c r="H158" s="407">
        <v>-3.3999999999999998E-3</v>
      </c>
      <c r="I158" s="409">
        <v>4.7000000000000002E-3</v>
      </c>
      <c r="J158" s="407">
        <v>5.0000000000000001E-4</v>
      </c>
      <c r="K158" s="410">
        <v>0.86919999999999997</v>
      </c>
      <c r="L158" s="411">
        <v>9.1000000000000004E-3</v>
      </c>
      <c r="M158" s="412">
        <v>1.4880000000000001E-2</v>
      </c>
      <c r="N158" s="413">
        <v>1.2E-4</v>
      </c>
      <c r="O158" s="414">
        <v>2.855</v>
      </c>
      <c r="P158" s="415">
        <v>0.57840000000000003</v>
      </c>
      <c r="Q158" s="415">
        <v>0.2989</v>
      </c>
      <c r="R158" s="415">
        <v>9.7000000000000003E-2</v>
      </c>
      <c r="S158" s="415">
        <v>-8.4000000000000005E-2</v>
      </c>
      <c r="T158" s="415">
        <v>-5.1900000000000002E-2</v>
      </c>
      <c r="U158" s="415">
        <v>2.6700000000000002E-2</v>
      </c>
      <c r="V158" s="415">
        <v>2.5899999999999999E-2</v>
      </c>
      <c r="W158" s="415">
        <v>2.4199999999999999E-2</v>
      </c>
      <c r="X158" s="416">
        <v>2.3281000000000001</v>
      </c>
      <c r="Y158" s="418">
        <v>0.12740000000000001</v>
      </c>
      <c r="Z158" s="418">
        <v>0.12609999999999999</v>
      </c>
      <c r="AA158" s="418">
        <v>7.8600000000000003E-2</v>
      </c>
      <c r="AB158" s="419">
        <v>18626.807700000001</v>
      </c>
      <c r="AC158" s="419">
        <v>3295.9319999999998</v>
      </c>
      <c r="AD158" s="419">
        <v>2633.7867999999999</v>
      </c>
      <c r="AE158" s="419">
        <v>507.80689999999998</v>
      </c>
      <c r="AF158" s="420">
        <v>5.45E-2</v>
      </c>
      <c r="AG158" s="370"/>
    </row>
    <row r="159" spans="1:33">
      <c r="A159" s="370"/>
      <c r="B159" s="406">
        <f t="shared" si="3"/>
        <v>154</v>
      </c>
      <c r="C159" s="407">
        <v>7.5999999999999998E-2</v>
      </c>
      <c r="D159" s="407">
        <v>8.9999999999999998E-4</v>
      </c>
      <c r="E159" s="407">
        <v>-0.17829999999999999</v>
      </c>
      <c r="F159" s="407">
        <v>7.1000000000000004E-3</v>
      </c>
      <c r="G159" s="407">
        <v>-2.2000000000000001E-3</v>
      </c>
      <c r="H159" s="407">
        <v>-3.2000000000000002E-3</v>
      </c>
      <c r="I159" s="409">
        <v>4.5999999999999999E-3</v>
      </c>
      <c r="J159" s="407">
        <v>4.0000000000000002E-4</v>
      </c>
      <c r="K159" s="410">
        <v>0.83930000000000005</v>
      </c>
      <c r="L159" s="422">
        <v>8.8000000000000005E-3</v>
      </c>
      <c r="M159" s="412">
        <v>1.5010000000000001E-2</v>
      </c>
      <c r="N159" s="413">
        <v>1.2999999999999999E-4</v>
      </c>
      <c r="O159" s="414">
        <v>2.7568000000000001</v>
      </c>
      <c r="P159" s="415">
        <v>0.5585</v>
      </c>
      <c r="Q159" s="415">
        <v>0.28860000000000002</v>
      </c>
      <c r="R159" s="415">
        <v>9.3600000000000003E-2</v>
      </c>
      <c r="S159" s="415">
        <v>-8.1100000000000005E-2</v>
      </c>
      <c r="T159" s="415">
        <v>-5.0099999999999999E-2</v>
      </c>
      <c r="U159" s="415">
        <v>2.58E-2</v>
      </c>
      <c r="V159" s="415">
        <v>2.5000000000000001E-2</v>
      </c>
      <c r="W159" s="415">
        <v>2.3400000000000001E-2</v>
      </c>
      <c r="X159" s="416">
        <v>2.2481</v>
      </c>
      <c r="Y159" s="418">
        <v>0.123</v>
      </c>
      <c r="Z159" s="418">
        <v>0.1217</v>
      </c>
      <c r="AA159" s="418">
        <v>7.5899999999999995E-2</v>
      </c>
      <c r="AB159" s="419">
        <v>18789.6086</v>
      </c>
      <c r="AC159" s="419">
        <v>3324.7388999999998</v>
      </c>
      <c r="AD159" s="419">
        <v>2656.8063999999999</v>
      </c>
      <c r="AE159" s="419">
        <v>512.24519999999995</v>
      </c>
      <c r="AF159" s="420">
        <v>5.0599999999999999E-2</v>
      </c>
      <c r="AG159" s="370"/>
    </row>
    <row r="160" spans="1:33">
      <c r="A160" s="370"/>
      <c r="B160" s="406">
        <f t="shared" si="3"/>
        <v>155</v>
      </c>
      <c r="C160" s="407">
        <v>7.3300000000000004E-2</v>
      </c>
      <c r="D160" s="407">
        <v>8.9999999999999998E-4</v>
      </c>
      <c r="E160" s="407">
        <v>-0.1719</v>
      </c>
      <c r="F160" s="407">
        <v>6.7999999999999996E-3</v>
      </c>
      <c r="G160" s="407">
        <v>-2.2000000000000001E-3</v>
      </c>
      <c r="H160" s="407">
        <v>-3.0999999999999999E-3</v>
      </c>
      <c r="I160" s="409">
        <v>4.4000000000000003E-3</v>
      </c>
      <c r="J160" s="407">
        <v>4.0000000000000002E-4</v>
      </c>
      <c r="K160" s="410">
        <v>0.80910000000000004</v>
      </c>
      <c r="L160" s="422">
        <v>8.3999999999999995E-3</v>
      </c>
      <c r="M160" s="412">
        <v>1.5140000000000001E-2</v>
      </c>
      <c r="N160" s="413">
        <v>1.2999999999999999E-4</v>
      </c>
      <c r="O160" s="414">
        <v>2.6577999999999999</v>
      </c>
      <c r="P160" s="415">
        <v>0.53839999999999999</v>
      </c>
      <c r="Q160" s="415">
        <v>0.2782</v>
      </c>
      <c r="R160" s="415">
        <v>9.0300000000000005E-2</v>
      </c>
      <c r="S160" s="415">
        <v>-7.8200000000000006E-2</v>
      </c>
      <c r="T160" s="415">
        <v>-4.8300000000000003E-2</v>
      </c>
      <c r="U160" s="415">
        <v>2.4799999999999999E-2</v>
      </c>
      <c r="V160" s="415">
        <v>2.41E-2</v>
      </c>
      <c r="W160" s="415">
        <v>2.2499999999999999E-2</v>
      </c>
      <c r="X160" s="416">
        <v>2.1673</v>
      </c>
      <c r="Y160" s="418">
        <v>0.1186</v>
      </c>
      <c r="Z160" s="418">
        <v>0.1174</v>
      </c>
      <c r="AA160" s="418">
        <v>7.3200000000000001E-2</v>
      </c>
      <c r="AB160" s="419">
        <v>18946.686000000002</v>
      </c>
      <c r="AC160" s="419">
        <v>3352.5331000000001</v>
      </c>
      <c r="AD160" s="419">
        <v>2679.0167999999999</v>
      </c>
      <c r="AE160" s="419">
        <v>516.52750000000003</v>
      </c>
      <c r="AF160" s="420">
        <v>4.6800000000000001E-2</v>
      </c>
      <c r="AG160" s="370"/>
    </row>
    <row r="161" spans="1:33">
      <c r="A161" s="370"/>
      <c r="B161" s="406">
        <f t="shared" si="3"/>
        <v>156</v>
      </c>
      <c r="C161" s="407">
        <v>7.0499999999999993E-2</v>
      </c>
      <c r="D161" s="407">
        <v>8.9999999999999998E-4</v>
      </c>
      <c r="E161" s="407">
        <v>-0.16550000000000001</v>
      </c>
      <c r="F161" s="407">
        <v>6.4999999999999997E-3</v>
      </c>
      <c r="G161" s="407">
        <v>-2.0999999999999999E-3</v>
      </c>
      <c r="H161" s="407">
        <v>-3.0000000000000001E-3</v>
      </c>
      <c r="I161" s="409">
        <v>4.1999999999999997E-3</v>
      </c>
      <c r="J161" s="407">
        <v>4.0000000000000002E-4</v>
      </c>
      <c r="K161" s="410">
        <v>0.77869999999999995</v>
      </c>
      <c r="L161" s="422">
        <v>8.0999999999999996E-3</v>
      </c>
      <c r="M161" s="412">
        <v>1.5259999999999999E-2</v>
      </c>
      <c r="N161" s="413">
        <v>1.2999999999999999E-4</v>
      </c>
      <c r="O161" s="414">
        <v>2.5579000000000001</v>
      </c>
      <c r="P161" s="415">
        <v>0.51819999999999999</v>
      </c>
      <c r="Q161" s="415">
        <v>0.26779999999999998</v>
      </c>
      <c r="R161" s="415">
        <v>8.6900000000000005E-2</v>
      </c>
      <c r="S161" s="415">
        <v>-7.5300000000000006E-2</v>
      </c>
      <c r="T161" s="415">
        <v>-4.65E-2</v>
      </c>
      <c r="U161" s="415">
        <v>2.3900000000000001E-2</v>
      </c>
      <c r="V161" s="415">
        <v>2.3199999999999998E-2</v>
      </c>
      <c r="W161" s="415">
        <v>2.1700000000000001E-2</v>
      </c>
      <c r="X161" s="416">
        <v>2.0857999999999999</v>
      </c>
      <c r="Y161" s="418">
        <v>0.11409999999999999</v>
      </c>
      <c r="Z161" s="418">
        <v>0.1129</v>
      </c>
      <c r="AA161" s="418">
        <v>7.0499999999999993E-2</v>
      </c>
      <c r="AB161" s="419">
        <v>19097.992099999999</v>
      </c>
      <c r="AC161" s="419">
        <v>3379.3060999999998</v>
      </c>
      <c r="AD161" s="419">
        <v>2700.4110999999998</v>
      </c>
      <c r="AE161" s="419">
        <v>520.65239999999994</v>
      </c>
      <c r="AF161" s="420">
        <v>4.3200000000000002E-2</v>
      </c>
      <c r="AG161" s="370"/>
    </row>
    <row r="162" spans="1:33">
      <c r="A162" s="370"/>
      <c r="B162" s="406">
        <f t="shared" si="3"/>
        <v>157</v>
      </c>
      <c r="C162" s="407">
        <v>6.7799999999999999E-2</v>
      </c>
      <c r="D162" s="407">
        <v>8.0000000000000004E-4</v>
      </c>
      <c r="E162" s="407">
        <v>-0.15890000000000001</v>
      </c>
      <c r="F162" s="407">
        <v>6.3E-3</v>
      </c>
      <c r="G162" s="407">
        <v>-2E-3</v>
      </c>
      <c r="H162" s="407">
        <v>-2.8999999999999998E-3</v>
      </c>
      <c r="I162" s="409">
        <v>4.1000000000000003E-3</v>
      </c>
      <c r="J162" s="407">
        <v>4.0000000000000002E-4</v>
      </c>
      <c r="K162" s="410">
        <v>0.74809999999999999</v>
      </c>
      <c r="L162" s="422">
        <v>7.7999999999999996E-3</v>
      </c>
      <c r="M162" s="412">
        <v>1.537E-2</v>
      </c>
      <c r="N162" s="413">
        <v>1.2999999999999999E-4</v>
      </c>
      <c r="O162" s="414">
        <v>2.4571999999999998</v>
      </c>
      <c r="P162" s="415">
        <v>0.49780000000000002</v>
      </c>
      <c r="Q162" s="415">
        <v>0.25719999999999998</v>
      </c>
      <c r="R162" s="415">
        <v>8.3500000000000005E-2</v>
      </c>
      <c r="S162" s="415">
        <v>-7.2300000000000003E-2</v>
      </c>
      <c r="T162" s="415">
        <v>-4.4699999999999997E-2</v>
      </c>
      <c r="U162" s="415">
        <v>2.3E-2</v>
      </c>
      <c r="V162" s="415">
        <v>2.23E-2</v>
      </c>
      <c r="W162" s="415">
        <v>2.0799999999999999E-2</v>
      </c>
      <c r="X162" s="416">
        <v>2.0036999999999998</v>
      </c>
      <c r="Y162" s="418">
        <v>0.1096</v>
      </c>
      <c r="Z162" s="418">
        <v>0.1085</v>
      </c>
      <c r="AA162" s="418">
        <v>6.7699999999999996E-2</v>
      </c>
      <c r="AB162" s="419">
        <v>19243.4807</v>
      </c>
      <c r="AC162" s="419">
        <v>3405.0495999999998</v>
      </c>
      <c r="AD162" s="419">
        <v>2720.9829</v>
      </c>
      <c r="AE162" s="419">
        <v>524.61869999999999</v>
      </c>
      <c r="AF162" s="420">
        <v>3.9699999999999999E-2</v>
      </c>
      <c r="AG162" s="370"/>
    </row>
    <row r="163" spans="1:33">
      <c r="A163" s="370"/>
      <c r="B163" s="406">
        <f t="shared" si="3"/>
        <v>158</v>
      </c>
      <c r="C163" s="407">
        <v>6.5000000000000002E-2</v>
      </c>
      <c r="D163" s="407">
        <v>8.0000000000000004E-4</v>
      </c>
      <c r="E163" s="407">
        <v>-0.15240000000000001</v>
      </c>
      <c r="F163" s="407">
        <v>6.0000000000000001E-3</v>
      </c>
      <c r="G163" s="407">
        <v>-1.9E-3</v>
      </c>
      <c r="H163" s="407">
        <v>-2.8E-3</v>
      </c>
      <c r="I163" s="409">
        <v>3.8999999999999998E-3</v>
      </c>
      <c r="J163" s="407">
        <v>4.0000000000000002E-4</v>
      </c>
      <c r="K163" s="410">
        <v>0.71719999999999995</v>
      </c>
      <c r="L163" s="422">
        <v>7.4999999999999997E-3</v>
      </c>
      <c r="M163" s="412">
        <v>1.5480000000000001E-2</v>
      </c>
      <c r="N163" s="413">
        <v>1.2999999999999999E-4</v>
      </c>
      <c r="O163" s="414">
        <v>2.3557999999999999</v>
      </c>
      <c r="P163" s="415">
        <v>0.4773</v>
      </c>
      <c r="Q163" s="415">
        <v>0.24660000000000001</v>
      </c>
      <c r="R163" s="415">
        <v>0.08</v>
      </c>
      <c r="S163" s="415">
        <v>-6.93E-2</v>
      </c>
      <c r="T163" s="415">
        <v>-4.2799999999999998E-2</v>
      </c>
      <c r="U163" s="415">
        <v>2.1999999999999999E-2</v>
      </c>
      <c r="V163" s="415">
        <v>2.1399999999999999E-2</v>
      </c>
      <c r="W163" s="415">
        <v>0.02</v>
      </c>
      <c r="X163" s="416">
        <v>1.9211</v>
      </c>
      <c r="Y163" s="418">
        <v>0.1051</v>
      </c>
      <c r="Z163" s="418">
        <v>0.104</v>
      </c>
      <c r="AA163" s="418">
        <v>6.4899999999999999E-2</v>
      </c>
      <c r="AB163" s="419">
        <v>19383.107599999999</v>
      </c>
      <c r="AC163" s="419">
        <v>3429.7559999999999</v>
      </c>
      <c r="AD163" s="419">
        <v>2740.7258000000002</v>
      </c>
      <c r="AE163" s="419">
        <v>528.42529999999999</v>
      </c>
      <c r="AF163" s="420">
        <v>3.6400000000000002E-2</v>
      </c>
      <c r="AG163" s="370"/>
    </row>
    <row r="164" spans="1:33">
      <c r="A164" s="370"/>
      <c r="B164" s="406">
        <f t="shared" si="3"/>
        <v>159</v>
      </c>
      <c r="C164" s="407">
        <v>6.2100000000000002E-2</v>
      </c>
      <c r="D164" s="407">
        <v>8.0000000000000004E-4</v>
      </c>
      <c r="E164" s="407">
        <v>-0.14580000000000001</v>
      </c>
      <c r="F164" s="407">
        <v>5.7999999999999996E-3</v>
      </c>
      <c r="G164" s="407">
        <v>-1.8E-3</v>
      </c>
      <c r="H164" s="407">
        <v>-2.7000000000000001E-3</v>
      </c>
      <c r="I164" s="409">
        <v>3.7000000000000002E-3</v>
      </c>
      <c r="J164" s="407">
        <v>4.0000000000000002E-4</v>
      </c>
      <c r="K164" s="410">
        <v>0.68610000000000004</v>
      </c>
      <c r="L164" s="422">
        <v>7.1999999999999998E-3</v>
      </c>
      <c r="M164" s="412">
        <v>1.559E-2</v>
      </c>
      <c r="N164" s="413">
        <v>1.2999999999999999E-4</v>
      </c>
      <c r="O164" s="414">
        <v>2.2536999999999998</v>
      </c>
      <c r="P164" s="415">
        <v>0.45660000000000001</v>
      </c>
      <c r="Q164" s="415">
        <v>0.2359</v>
      </c>
      <c r="R164" s="415">
        <v>7.6600000000000001E-2</v>
      </c>
      <c r="S164" s="415">
        <v>-6.6299999999999998E-2</v>
      </c>
      <c r="T164" s="415">
        <v>-4.1000000000000002E-2</v>
      </c>
      <c r="U164" s="415">
        <v>2.1100000000000001E-2</v>
      </c>
      <c r="V164" s="415">
        <v>2.0500000000000001E-2</v>
      </c>
      <c r="W164" s="415">
        <v>1.9099999999999999E-2</v>
      </c>
      <c r="X164" s="416">
        <v>1.8378000000000001</v>
      </c>
      <c r="Y164" s="418">
        <v>0.10059999999999999</v>
      </c>
      <c r="Z164" s="418">
        <v>9.9500000000000005E-2</v>
      </c>
      <c r="AA164" s="418">
        <v>6.2100000000000002E-2</v>
      </c>
      <c r="AB164" s="419">
        <v>19516.8302</v>
      </c>
      <c r="AC164" s="419">
        <v>3453.4176000000002</v>
      </c>
      <c r="AD164" s="419">
        <v>2759.6338999999998</v>
      </c>
      <c r="AE164" s="419">
        <v>532.07079999999996</v>
      </c>
      <c r="AF164" s="420">
        <v>3.32E-2</v>
      </c>
      <c r="AG164" s="370"/>
    </row>
    <row r="165" spans="1:33">
      <c r="A165" s="370"/>
      <c r="B165" s="406">
        <f t="shared" si="3"/>
        <v>160</v>
      </c>
      <c r="C165" s="407">
        <v>5.9299999999999999E-2</v>
      </c>
      <c r="D165" s="407">
        <v>6.9999999999999999E-4</v>
      </c>
      <c r="E165" s="407">
        <v>-0.1391</v>
      </c>
      <c r="F165" s="407">
        <v>5.4999999999999997E-3</v>
      </c>
      <c r="G165" s="407">
        <v>-1.6999999999999999E-3</v>
      </c>
      <c r="H165" s="407">
        <v>-2.5000000000000001E-3</v>
      </c>
      <c r="I165" s="409">
        <v>3.5999999999999999E-3</v>
      </c>
      <c r="J165" s="407">
        <v>2.9999999999999997E-4</v>
      </c>
      <c r="K165" s="410">
        <v>0.65480000000000005</v>
      </c>
      <c r="L165" s="422">
        <v>6.7999999999999996E-3</v>
      </c>
      <c r="M165" s="412">
        <v>1.5689999999999999E-2</v>
      </c>
      <c r="N165" s="413">
        <v>1.2999999999999999E-4</v>
      </c>
      <c r="O165" s="414">
        <v>2.1509</v>
      </c>
      <c r="P165" s="415">
        <v>0.43569999999999998</v>
      </c>
      <c r="Q165" s="415">
        <v>0.22520000000000001</v>
      </c>
      <c r="R165" s="415">
        <v>7.3099999999999998E-2</v>
      </c>
      <c r="S165" s="415">
        <v>-6.3299999999999995E-2</v>
      </c>
      <c r="T165" s="415">
        <v>-3.9100000000000003E-2</v>
      </c>
      <c r="U165" s="415">
        <v>2.01E-2</v>
      </c>
      <c r="V165" s="415">
        <v>1.95E-2</v>
      </c>
      <c r="W165" s="415">
        <v>1.8200000000000001E-2</v>
      </c>
      <c r="X165" s="416">
        <v>1.7539</v>
      </c>
      <c r="Y165" s="418">
        <v>9.6000000000000002E-2</v>
      </c>
      <c r="Z165" s="418">
        <v>9.5000000000000001E-2</v>
      </c>
      <c r="AA165" s="418">
        <v>5.9299999999999999E-2</v>
      </c>
      <c r="AB165" s="419">
        <v>19644.607800000002</v>
      </c>
      <c r="AC165" s="419">
        <v>3476.0273000000002</v>
      </c>
      <c r="AD165" s="419">
        <v>2777.7013000000002</v>
      </c>
      <c r="AE165" s="419">
        <v>535.55430000000001</v>
      </c>
      <c r="AF165" s="420">
        <v>3.0200000000000001E-2</v>
      </c>
      <c r="AG165" s="370"/>
    </row>
    <row r="166" spans="1:33">
      <c r="A166" s="370"/>
      <c r="B166" s="406">
        <f t="shared" si="3"/>
        <v>161</v>
      </c>
      <c r="C166" s="407">
        <v>5.6500000000000002E-2</v>
      </c>
      <c r="D166" s="407">
        <v>6.9999999999999999E-4</v>
      </c>
      <c r="E166" s="407">
        <v>-0.13239999999999999</v>
      </c>
      <c r="F166" s="407">
        <v>5.1999999999999998E-3</v>
      </c>
      <c r="G166" s="407">
        <v>-1.6999999999999999E-3</v>
      </c>
      <c r="H166" s="407">
        <v>-2.3999999999999998E-3</v>
      </c>
      <c r="I166" s="409">
        <v>3.3999999999999998E-3</v>
      </c>
      <c r="J166" s="407">
        <v>2.9999999999999997E-4</v>
      </c>
      <c r="K166" s="410">
        <v>0.62329999999999997</v>
      </c>
      <c r="L166" s="422">
        <v>6.4999999999999997E-3</v>
      </c>
      <c r="M166" s="412">
        <v>1.5789999999999998E-2</v>
      </c>
      <c r="N166" s="413">
        <v>1.2999999999999999E-4</v>
      </c>
      <c r="O166" s="414">
        <v>2.0474000000000001</v>
      </c>
      <c r="P166" s="415">
        <v>0.4148</v>
      </c>
      <c r="Q166" s="415">
        <v>0.21429999999999999</v>
      </c>
      <c r="R166" s="415">
        <v>6.9500000000000006E-2</v>
      </c>
      <c r="S166" s="415">
        <v>-6.0299999999999999E-2</v>
      </c>
      <c r="T166" s="415">
        <v>-3.7199999999999997E-2</v>
      </c>
      <c r="U166" s="415">
        <v>1.9099999999999999E-2</v>
      </c>
      <c r="V166" s="415">
        <v>1.8599999999999998E-2</v>
      </c>
      <c r="W166" s="415">
        <v>1.7399999999999999E-2</v>
      </c>
      <c r="X166" s="416">
        <v>1.6696</v>
      </c>
      <c r="Y166" s="418">
        <v>9.1399999999999995E-2</v>
      </c>
      <c r="Z166" s="418">
        <v>9.0399999999999994E-2</v>
      </c>
      <c r="AA166" s="418">
        <v>5.6399999999999999E-2</v>
      </c>
      <c r="AB166" s="419">
        <v>19766.4015</v>
      </c>
      <c r="AC166" s="419">
        <v>3497.5781999999999</v>
      </c>
      <c r="AD166" s="419">
        <v>2794.9227000000001</v>
      </c>
      <c r="AE166" s="419">
        <v>538.87469999999996</v>
      </c>
      <c r="AF166" s="420">
        <v>2.7199999999999998E-2</v>
      </c>
      <c r="AG166" s="370"/>
    </row>
    <row r="167" spans="1:33">
      <c r="A167" s="370"/>
      <c r="B167" s="406">
        <f t="shared" si="3"/>
        <v>162</v>
      </c>
      <c r="C167" s="407">
        <v>5.3600000000000002E-2</v>
      </c>
      <c r="D167" s="407">
        <v>5.9999999999999995E-4</v>
      </c>
      <c r="E167" s="407">
        <v>-0.12570000000000001</v>
      </c>
      <c r="F167" s="407">
        <v>5.0000000000000001E-3</v>
      </c>
      <c r="G167" s="407">
        <v>-1.6000000000000001E-3</v>
      </c>
      <c r="H167" s="407">
        <v>-2.3E-3</v>
      </c>
      <c r="I167" s="409">
        <v>3.2000000000000002E-3</v>
      </c>
      <c r="J167" s="407">
        <v>2.9999999999999997E-4</v>
      </c>
      <c r="K167" s="410">
        <v>0.59160000000000001</v>
      </c>
      <c r="L167" s="422">
        <v>6.1999999999999998E-3</v>
      </c>
      <c r="M167" s="412">
        <v>1.5879999999999998E-2</v>
      </c>
      <c r="N167" s="413">
        <v>1.2999999999999999E-4</v>
      </c>
      <c r="O167" s="414">
        <v>1.9433</v>
      </c>
      <c r="P167" s="415">
        <v>0.39369999999999999</v>
      </c>
      <c r="Q167" s="415">
        <v>0.2034</v>
      </c>
      <c r="R167" s="415">
        <v>6.6000000000000003E-2</v>
      </c>
      <c r="S167" s="415">
        <v>-5.7200000000000001E-2</v>
      </c>
      <c r="T167" s="415">
        <v>-3.5299999999999998E-2</v>
      </c>
      <c r="U167" s="415">
        <v>1.8200000000000001E-2</v>
      </c>
      <c r="V167" s="415">
        <v>1.7600000000000001E-2</v>
      </c>
      <c r="W167" s="415">
        <v>1.6500000000000001E-2</v>
      </c>
      <c r="X167" s="416">
        <v>1.5847</v>
      </c>
      <c r="Y167" s="418">
        <v>8.6699999999999999E-2</v>
      </c>
      <c r="Z167" s="418">
        <v>8.5800000000000001E-2</v>
      </c>
      <c r="AA167" s="418">
        <v>5.3499999999999999E-2</v>
      </c>
      <c r="AB167" s="419">
        <v>19882.1741</v>
      </c>
      <c r="AC167" s="419">
        <v>3518.0636</v>
      </c>
      <c r="AD167" s="419">
        <v>2811.2926000000002</v>
      </c>
      <c r="AE167" s="419">
        <v>542.03089999999997</v>
      </c>
      <c r="AF167" s="420">
        <v>2.4500000000000001E-2</v>
      </c>
      <c r="AG167" s="370"/>
    </row>
    <row r="168" spans="1:33">
      <c r="A168" s="370"/>
      <c r="B168" s="406">
        <f t="shared" si="3"/>
        <v>163</v>
      </c>
      <c r="C168" s="407">
        <v>5.0700000000000002E-2</v>
      </c>
      <c r="D168" s="407">
        <v>5.9999999999999995E-4</v>
      </c>
      <c r="E168" s="407">
        <v>-0.11890000000000001</v>
      </c>
      <c r="F168" s="407">
        <v>4.7000000000000002E-3</v>
      </c>
      <c r="G168" s="407">
        <v>-1.5E-3</v>
      </c>
      <c r="H168" s="407">
        <v>-2.2000000000000001E-3</v>
      </c>
      <c r="I168" s="409">
        <v>3.0000000000000001E-3</v>
      </c>
      <c r="J168" s="407">
        <v>2.9999999999999997E-4</v>
      </c>
      <c r="K168" s="410">
        <v>0.55979999999999996</v>
      </c>
      <c r="L168" s="422">
        <v>5.7999999999999996E-3</v>
      </c>
      <c r="M168" s="412">
        <v>1.5970000000000002E-2</v>
      </c>
      <c r="N168" s="413">
        <v>1.2999999999999999E-4</v>
      </c>
      <c r="O168" s="414">
        <v>1.8387</v>
      </c>
      <c r="P168" s="415">
        <v>0.3725</v>
      </c>
      <c r="Q168" s="415">
        <v>0.1925</v>
      </c>
      <c r="R168" s="415">
        <v>6.25E-2</v>
      </c>
      <c r="S168" s="415">
        <v>-5.4100000000000002E-2</v>
      </c>
      <c r="T168" s="415">
        <v>-3.3399999999999999E-2</v>
      </c>
      <c r="U168" s="415">
        <v>1.72E-2</v>
      </c>
      <c r="V168" s="415">
        <v>1.67E-2</v>
      </c>
      <c r="W168" s="415">
        <v>1.5599999999999999E-2</v>
      </c>
      <c r="X168" s="416">
        <v>1.4993000000000001</v>
      </c>
      <c r="Y168" s="418">
        <v>8.2000000000000003E-2</v>
      </c>
      <c r="Z168" s="418">
        <v>8.1199999999999994E-2</v>
      </c>
      <c r="AA168" s="418">
        <v>5.0599999999999999E-2</v>
      </c>
      <c r="AB168" s="419">
        <v>19991.8904</v>
      </c>
      <c r="AC168" s="419">
        <v>3537.4774000000002</v>
      </c>
      <c r="AD168" s="419">
        <v>2826.8063000000002</v>
      </c>
      <c r="AE168" s="419">
        <v>545.02200000000005</v>
      </c>
      <c r="AF168" s="420">
        <v>2.18E-2</v>
      </c>
      <c r="AG168" s="370"/>
    </row>
    <row r="169" spans="1:33">
      <c r="A169" s="370"/>
      <c r="B169" s="406">
        <f t="shared" si="3"/>
        <v>164</v>
      </c>
      <c r="C169" s="407">
        <v>4.7800000000000002E-2</v>
      </c>
      <c r="D169" s="407">
        <v>5.9999999999999995E-4</v>
      </c>
      <c r="E169" s="407">
        <v>-0.11210000000000001</v>
      </c>
      <c r="F169" s="407">
        <v>4.4000000000000003E-3</v>
      </c>
      <c r="G169" s="407">
        <v>-1.4E-3</v>
      </c>
      <c r="H169" s="407">
        <v>-2E-3</v>
      </c>
      <c r="I169" s="409">
        <v>2.8999999999999998E-3</v>
      </c>
      <c r="J169" s="407">
        <v>2.9999999999999997E-4</v>
      </c>
      <c r="K169" s="410">
        <v>0.52769999999999995</v>
      </c>
      <c r="L169" s="422">
        <v>5.4999999999999997E-3</v>
      </c>
      <c r="M169" s="412">
        <v>1.6049999999999998E-2</v>
      </c>
      <c r="N169" s="413">
        <v>1.2999999999999999E-4</v>
      </c>
      <c r="O169" s="414">
        <v>1.7334000000000001</v>
      </c>
      <c r="P169" s="415">
        <v>0.35120000000000001</v>
      </c>
      <c r="Q169" s="415">
        <v>0.18149999999999999</v>
      </c>
      <c r="R169" s="415">
        <v>5.8900000000000001E-2</v>
      </c>
      <c r="S169" s="415">
        <v>-5.0999999999999997E-2</v>
      </c>
      <c r="T169" s="415">
        <v>-3.15E-2</v>
      </c>
      <c r="U169" s="415">
        <v>1.6199999999999999E-2</v>
      </c>
      <c r="V169" s="415">
        <v>1.5699999999999999E-2</v>
      </c>
      <c r="W169" s="415">
        <v>1.47E-2</v>
      </c>
      <c r="X169" s="416">
        <v>1.4135</v>
      </c>
      <c r="Y169" s="418">
        <v>7.7299999999999994E-2</v>
      </c>
      <c r="Z169" s="418">
        <v>7.6499999999999999E-2</v>
      </c>
      <c r="AA169" s="418">
        <v>4.7800000000000002E-2</v>
      </c>
      <c r="AB169" s="419">
        <v>20095.517</v>
      </c>
      <c r="AC169" s="419">
        <v>3555.8137000000002</v>
      </c>
      <c r="AD169" s="419">
        <v>2841.4587999999999</v>
      </c>
      <c r="AE169" s="419">
        <v>547.84709999999995</v>
      </c>
      <c r="AF169" s="420">
        <v>1.9400000000000001E-2</v>
      </c>
      <c r="AG169" s="370"/>
    </row>
    <row r="170" spans="1:33">
      <c r="A170" s="370"/>
      <c r="B170" s="406">
        <f t="shared" si="3"/>
        <v>165</v>
      </c>
      <c r="C170" s="407">
        <v>4.4900000000000002E-2</v>
      </c>
      <c r="D170" s="407">
        <v>5.0000000000000001E-4</v>
      </c>
      <c r="E170" s="407">
        <v>-0.1053</v>
      </c>
      <c r="F170" s="407">
        <v>4.1999999999999997E-3</v>
      </c>
      <c r="G170" s="407">
        <v>-1.2999999999999999E-3</v>
      </c>
      <c r="H170" s="407">
        <v>-1.9E-3</v>
      </c>
      <c r="I170" s="409">
        <v>2.7000000000000001E-3</v>
      </c>
      <c r="J170" s="407">
        <v>2.9999999999999997E-4</v>
      </c>
      <c r="K170" s="410">
        <v>0.4955</v>
      </c>
      <c r="L170" s="422">
        <v>5.1999999999999998E-3</v>
      </c>
      <c r="M170" s="412">
        <v>1.6129999999999999E-2</v>
      </c>
      <c r="N170" s="413">
        <v>1.3999999999999999E-4</v>
      </c>
      <c r="O170" s="414">
        <v>1.6276999999999999</v>
      </c>
      <c r="P170" s="415">
        <v>0.32969999999999999</v>
      </c>
      <c r="Q170" s="415">
        <v>0.1704</v>
      </c>
      <c r="R170" s="415">
        <v>5.5300000000000002E-2</v>
      </c>
      <c r="S170" s="415">
        <v>-4.7899999999999998E-2</v>
      </c>
      <c r="T170" s="415">
        <v>-2.9600000000000001E-2</v>
      </c>
      <c r="U170" s="415">
        <v>1.52E-2</v>
      </c>
      <c r="V170" s="415">
        <v>1.4800000000000001E-2</v>
      </c>
      <c r="W170" s="415">
        <v>1.38E-2</v>
      </c>
      <c r="X170" s="416">
        <v>1.3272999999999999</v>
      </c>
      <c r="Y170" s="418">
        <v>7.2599999999999998E-2</v>
      </c>
      <c r="Z170" s="418">
        <v>7.1900000000000006E-2</v>
      </c>
      <c r="AA170" s="418">
        <v>4.48E-2</v>
      </c>
      <c r="AB170" s="419">
        <v>20193.022300000001</v>
      </c>
      <c r="AC170" s="419">
        <v>3573.0668000000001</v>
      </c>
      <c r="AD170" s="419">
        <v>2855.2458000000001</v>
      </c>
      <c r="AE170" s="419">
        <v>550.50530000000003</v>
      </c>
      <c r="AF170" s="420">
        <v>1.7000000000000001E-2</v>
      </c>
      <c r="AG170" s="370"/>
    </row>
    <row r="171" spans="1:33">
      <c r="A171" s="370"/>
      <c r="B171" s="406">
        <f t="shared" si="3"/>
        <v>166</v>
      </c>
      <c r="C171" s="407">
        <v>4.19E-2</v>
      </c>
      <c r="D171" s="407">
        <v>5.0000000000000001E-4</v>
      </c>
      <c r="E171" s="407">
        <v>-9.8400000000000001E-2</v>
      </c>
      <c r="F171" s="407">
        <v>3.8999999999999998E-3</v>
      </c>
      <c r="G171" s="407">
        <v>-1.1999999999999999E-3</v>
      </c>
      <c r="H171" s="407">
        <v>-1.8E-3</v>
      </c>
      <c r="I171" s="409">
        <v>2.5000000000000001E-3</v>
      </c>
      <c r="J171" s="407">
        <v>2.0000000000000001E-4</v>
      </c>
      <c r="K171" s="410">
        <v>0.4632</v>
      </c>
      <c r="L171" s="422">
        <v>4.7999999999999996E-3</v>
      </c>
      <c r="M171" s="412">
        <v>1.6199999999999999E-2</v>
      </c>
      <c r="N171" s="413">
        <v>1.3999999999999999E-4</v>
      </c>
      <c r="O171" s="414">
        <v>1.5214000000000001</v>
      </c>
      <c r="P171" s="415">
        <v>0.30819999999999997</v>
      </c>
      <c r="Q171" s="415">
        <v>0.1593</v>
      </c>
      <c r="R171" s="415">
        <v>5.1700000000000003E-2</v>
      </c>
      <c r="S171" s="415">
        <v>-4.48E-2</v>
      </c>
      <c r="T171" s="415">
        <v>-2.7699999999999999E-2</v>
      </c>
      <c r="U171" s="415">
        <v>1.4200000000000001E-2</v>
      </c>
      <c r="V171" s="415">
        <v>1.38E-2</v>
      </c>
      <c r="W171" s="415">
        <v>1.29E-2</v>
      </c>
      <c r="X171" s="416">
        <v>1.2405999999999999</v>
      </c>
      <c r="Y171" s="418">
        <v>6.7900000000000002E-2</v>
      </c>
      <c r="Z171" s="418">
        <v>6.7199999999999996E-2</v>
      </c>
      <c r="AA171" s="418">
        <v>4.19E-2</v>
      </c>
      <c r="AB171" s="419">
        <v>20284.3766</v>
      </c>
      <c r="AC171" s="419">
        <v>3589.2316000000001</v>
      </c>
      <c r="AD171" s="419">
        <v>2868.1631000000002</v>
      </c>
      <c r="AE171" s="419">
        <v>552.99580000000003</v>
      </c>
      <c r="AF171" s="420">
        <v>1.49E-2</v>
      </c>
      <c r="AG171" s="370"/>
    </row>
    <row r="172" spans="1:33">
      <c r="A172" s="370"/>
      <c r="B172" s="406">
        <f t="shared" si="3"/>
        <v>167</v>
      </c>
      <c r="C172" s="407">
        <v>3.9E-2</v>
      </c>
      <c r="D172" s="407">
        <v>5.0000000000000001E-4</v>
      </c>
      <c r="E172" s="407">
        <v>-9.1499999999999998E-2</v>
      </c>
      <c r="F172" s="407">
        <v>3.5999999999999999E-3</v>
      </c>
      <c r="G172" s="407">
        <v>-1.1000000000000001E-3</v>
      </c>
      <c r="H172" s="407">
        <v>-1.6999999999999999E-3</v>
      </c>
      <c r="I172" s="409">
        <v>2.3E-3</v>
      </c>
      <c r="J172" s="407">
        <v>2.0000000000000001E-4</v>
      </c>
      <c r="K172" s="410">
        <v>0.43070000000000003</v>
      </c>
      <c r="L172" s="422">
        <v>4.4999999999999997E-3</v>
      </c>
      <c r="M172" s="412">
        <v>1.627E-2</v>
      </c>
      <c r="N172" s="413">
        <v>1.3999999999999999E-4</v>
      </c>
      <c r="O172" s="414">
        <v>1.4147000000000001</v>
      </c>
      <c r="P172" s="415">
        <v>0.28660000000000002</v>
      </c>
      <c r="Q172" s="415">
        <v>0.14810000000000001</v>
      </c>
      <c r="R172" s="415">
        <v>4.8099999999999997E-2</v>
      </c>
      <c r="S172" s="415">
        <v>-4.1599999999999998E-2</v>
      </c>
      <c r="T172" s="415">
        <v>-2.5700000000000001E-2</v>
      </c>
      <c r="U172" s="415">
        <v>1.32E-2</v>
      </c>
      <c r="V172" s="415">
        <v>1.2800000000000001E-2</v>
      </c>
      <c r="W172" s="415">
        <v>1.2E-2</v>
      </c>
      <c r="X172" s="416">
        <v>1.1536</v>
      </c>
      <c r="Y172" s="418">
        <v>6.3100000000000003E-2</v>
      </c>
      <c r="Z172" s="418">
        <v>6.25E-2</v>
      </c>
      <c r="AA172" s="418">
        <v>3.9E-2</v>
      </c>
      <c r="AB172" s="419">
        <v>20369.552100000001</v>
      </c>
      <c r="AC172" s="419">
        <v>3604.3029999999999</v>
      </c>
      <c r="AD172" s="419">
        <v>2880.2067000000002</v>
      </c>
      <c r="AE172" s="419">
        <v>555.31790000000001</v>
      </c>
      <c r="AF172" s="420">
        <v>1.2800000000000001E-2</v>
      </c>
      <c r="AG172" s="370"/>
    </row>
    <row r="173" spans="1:33">
      <c r="A173" s="370"/>
      <c r="B173" s="406">
        <f t="shared" si="3"/>
        <v>168</v>
      </c>
      <c r="C173" s="407">
        <v>3.61E-2</v>
      </c>
      <c r="D173" s="407">
        <v>4.0000000000000002E-4</v>
      </c>
      <c r="E173" s="407">
        <v>-8.4599999999999995E-2</v>
      </c>
      <c r="F173" s="407">
        <v>3.3E-3</v>
      </c>
      <c r="G173" s="407">
        <v>-1.1000000000000001E-3</v>
      </c>
      <c r="H173" s="407">
        <v>-1.5E-3</v>
      </c>
      <c r="I173" s="409">
        <v>2.2000000000000001E-3</v>
      </c>
      <c r="J173" s="407">
        <v>2.0000000000000001E-4</v>
      </c>
      <c r="K173" s="410">
        <v>0.39810000000000001</v>
      </c>
      <c r="L173" s="422">
        <v>4.1999999999999997E-3</v>
      </c>
      <c r="M173" s="412">
        <v>1.634E-2</v>
      </c>
      <c r="N173" s="413">
        <v>1.3999999999999999E-4</v>
      </c>
      <c r="O173" s="414">
        <v>1.3075000000000001</v>
      </c>
      <c r="P173" s="415">
        <v>0.26490000000000002</v>
      </c>
      <c r="Q173" s="415">
        <v>0.13689999999999999</v>
      </c>
      <c r="R173" s="415">
        <v>4.4400000000000002E-2</v>
      </c>
      <c r="S173" s="415">
        <v>-3.85E-2</v>
      </c>
      <c r="T173" s="415">
        <v>-2.3800000000000002E-2</v>
      </c>
      <c r="U173" s="415">
        <v>1.2200000000000001E-2</v>
      </c>
      <c r="V173" s="415">
        <v>1.1900000000000001E-2</v>
      </c>
      <c r="W173" s="415">
        <v>1.11E-2</v>
      </c>
      <c r="X173" s="416">
        <v>1.0662</v>
      </c>
      <c r="Y173" s="418">
        <v>5.8299999999999998E-2</v>
      </c>
      <c r="Z173" s="418">
        <v>5.7700000000000001E-2</v>
      </c>
      <c r="AA173" s="418">
        <v>3.5999999999999997E-2</v>
      </c>
      <c r="AB173" s="419">
        <v>20448.522799999999</v>
      </c>
      <c r="AC173" s="419">
        <v>3618.2764999999999</v>
      </c>
      <c r="AD173" s="419">
        <v>2891.373</v>
      </c>
      <c r="AE173" s="419">
        <v>557.47080000000005</v>
      </c>
      <c r="AF173" s="420">
        <v>1.09E-2</v>
      </c>
      <c r="AG173" s="370"/>
    </row>
    <row r="174" spans="1:33">
      <c r="A174" s="370"/>
      <c r="B174" s="406">
        <f t="shared" si="3"/>
        <v>169</v>
      </c>
      <c r="C174" s="407">
        <v>3.3099999999999997E-2</v>
      </c>
      <c r="D174" s="407">
        <v>4.0000000000000002E-4</v>
      </c>
      <c r="E174" s="407">
        <v>-7.7600000000000002E-2</v>
      </c>
      <c r="F174" s="407">
        <v>3.0999999999999999E-3</v>
      </c>
      <c r="G174" s="407">
        <v>-1E-3</v>
      </c>
      <c r="H174" s="407">
        <v>-1.4E-3</v>
      </c>
      <c r="I174" s="409">
        <v>2E-3</v>
      </c>
      <c r="J174" s="407">
        <v>2.0000000000000001E-4</v>
      </c>
      <c r="K174" s="410">
        <v>0.36530000000000001</v>
      </c>
      <c r="L174" s="422">
        <v>3.8E-3</v>
      </c>
      <c r="M174" s="412">
        <v>1.6389999999999998E-2</v>
      </c>
      <c r="N174" s="413">
        <v>1.3999999999999999E-4</v>
      </c>
      <c r="O174" s="414">
        <v>1.2</v>
      </c>
      <c r="P174" s="415">
        <v>0.24310000000000001</v>
      </c>
      <c r="Q174" s="415">
        <v>0.12559999999999999</v>
      </c>
      <c r="R174" s="415">
        <v>4.0800000000000003E-2</v>
      </c>
      <c r="S174" s="415">
        <v>-3.5299999999999998E-2</v>
      </c>
      <c r="T174" s="415">
        <v>-2.18E-2</v>
      </c>
      <c r="U174" s="415">
        <v>1.12E-2</v>
      </c>
      <c r="V174" s="415">
        <v>1.09E-2</v>
      </c>
      <c r="W174" s="415">
        <v>1.0200000000000001E-2</v>
      </c>
      <c r="X174" s="416">
        <v>0.97850000000000004</v>
      </c>
      <c r="Y174" s="418">
        <v>5.3499999999999999E-2</v>
      </c>
      <c r="Z174" s="418">
        <v>5.2999999999999999E-2</v>
      </c>
      <c r="AA174" s="418">
        <v>3.3099999999999997E-2</v>
      </c>
      <c r="AB174" s="419">
        <v>20521.2647</v>
      </c>
      <c r="AC174" s="419">
        <v>3631.1478999999999</v>
      </c>
      <c r="AD174" s="419">
        <v>2901.6585</v>
      </c>
      <c r="AE174" s="419">
        <v>559.45389999999998</v>
      </c>
      <c r="AF174" s="420">
        <v>9.1999999999999998E-3</v>
      </c>
      <c r="AG174" s="370"/>
    </row>
    <row r="175" spans="1:33">
      <c r="A175" s="370"/>
      <c r="B175" s="406">
        <f t="shared" si="3"/>
        <v>170</v>
      </c>
      <c r="C175" s="407">
        <v>3.0099999999999998E-2</v>
      </c>
      <c r="D175" s="407">
        <v>4.0000000000000002E-4</v>
      </c>
      <c r="E175" s="407">
        <v>-7.0599999999999996E-2</v>
      </c>
      <c r="F175" s="407">
        <v>2.8E-3</v>
      </c>
      <c r="G175" s="407">
        <v>-8.9999999999999998E-4</v>
      </c>
      <c r="H175" s="407">
        <v>-1.2999999999999999E-3</v>
      </c>
      <c r="I175" s="409">
        <v>1.8E-3</v>
      </c>
      <c r="J175" s="407">
        <v>2.0000000000000001E-4</v>
      </c>
      <c r="K175" s="410">
        <v>0.33250000000000002</v>
      </c>
      <c r="L175" s="422">
        <v>3.5000000000000001E-3</v>
      </c>
      <c r="M175" s="412">
        <v>1.6449999999999999E-2</v>
      </c>
      <c r="N175" s="413">
        <v>1.3999999999999999E-4</v>
      </c>
      <c r="O175" s="414">
        <v>1.0920000000000001</v>
      </c>
      <c r="P175" s="415">
        <v>0.22120000000000001</v>
      </c>
      <c r="Q175" s="415">
        <v>0.1143</v>
      </c>
      <c r="R175" s="415">
        <v>3.7100000000000001E-2</v>
      </c>
      <c r="S175" s="415">
        <v>-3.2099999999999997E-2</v>
      </c>
      <c r="T175" s="415">
        <v>-1.9900000000000001E-2</v>
      </c>
      <c r="U175" s="415">
        <v>1.0200000000000001E-2</v>
      </c>
      <c r="V175" s="415">
        <v>9.9000000000000008E-3</v>
      </c>
      <c r="W175" s="415">
        <v>9.2999999999999992E-3</v>
      </c>
      <c r="X175" s="416">
        <v>0.89049999999999996</v>
      </c>
      <c r="Y175" s="418">
        <v>4.87E-2</v>
      </c>
      <c r="Z175" s="418">
        <v>4.82E-2</v>
      </c>
      <c r="AA175" s="418">
        <v>3.0099999999999998E-2</v>
      </c>
      <c r="AB175" s="419">
        <v>20587.755700000002</v>
      </c>
      <c r="AC175" s="419">
        <v>3642.9132</v>
      </c>
      <c r="AD175" s="419">
        <v>2911.0601999999999</v>
      </c>
      <c r="AE175" s="419">
        <v>561.26660000000004</v>
      </c>
      <c r="AF175" s="420">
        <v>7.6E-3</v>
      </c>
      <c r="AG175" s="370"/>
    </row>
    <row r="176" spans="1:33">
      <c r="A176" s="370"/>
      <c r="B176" s="406">
        <f t="shared" si="3"/>
        <v>171</v>
      </c>
      <c r="C176" s="407">
        <v>2.7099999999999999E-2</v>
      </c>
      <c r="D176" s="407">
        <v>2.9999999999999997E-4</v>
      </c>
      <c r="E176" s="407">
        <v>-6.3600000000000004E-2</v>
      </c>
      <c r="F176" s="407">
        <v>2.5000000000000001E-3</v>
      </c>
      <c r="G176" s="407">
        <v>-8.0000000000000004E-4</v>
      </c>
      <c r="H176" s="407">
        <v>-1.1999999999999999E-3</v>
      </c>
      <c r="I176" s="409">
        <v>1.6000000000000001E-3</v>
      </c>
      <c r="J176" s="407">
        <v>2.0000000000000001E-4</v>
      </c>
      <c r="K176" s="410">
        <v>0.29949999999999999</v>
      </c>
      <c r="L176" s="422">
        <v>3.0999999999999999E-3</v>
      </c>
      <c r="M176" s="412">
        <v>1.6490000000000001E-2</v>
      </c>
      <c r="N176" s="413">
        <v>1.3999999999999999E-4</v>
      </c>
      <c r="O176" s="414">
        <v>0.98380000000000001</v>
      </c>
      <c r="P176" s="415">
        <v>0.1993</v>
      </c>
      <c r="Q176" s="415">
        <v>0.10299999999999999</v>
      </c>
      <c r="R176" s="415">
        <v>3.3399999999999999E-2</v>
      </c>
      <c r="S176" s="415">
        <v>-2.9000000000000001E-2</v>
      </c>
      <c r="T176" s="415">
        <v>-1.7899999999999999E-2</v>
      </c>
      <c r="U176" s="415">
        <v>9.1999999999999998E-3</v>
      </c>
      <c r="V176" s="415">
        <v>8.8999999999999999E-3</v>
      </c>
      <c r="W176" s="415">
        <v>8.3000000000000001E-3</v>
      </c>
      <c r="X176" s="416">
        <v>0.80220000000000002</v>
      </c>
      <c r="Y176" s="418">
        <v>4.3900000000000002E-2</v>
      </c>
      <c r="Z176" s="418">
        <v>4.3400000000000001E-2</v>
      </c>
      <c r="AA176" s="418">
        <v>2.7099999999999999E-2</v>
      </c>
      <c r="AB176" s="419">
        <v>20647.975399999999</v>
      </c>
      <c r="AC176" s="419">
        <v>3653.5688</v>
      </c>
      <c r="AD176" s="419">
        <v>2919.5751</v>
      </c>
      <c r="AE176" s="419">
        <v>562.90830000000005</v>
      </c>
      <c r="AF176" s="420">
        <v>6.1999999999999998E-3</v>
      </c>
      <c r="AG176" s="370"/>
    </row>
    <row r="177" spans="1:33">
      <c r="A177" s="370"/>
      <c r="B177" s="406">
        <f t="shared" si="3"/>
        <v>172</v>
      </c>
      <c r="C177" s="407">
        <v>2.41E-2</v>
      </c>
      <c r="D177" s="407">
        <v>2.9999999999999997E-4</v>
      </c>
      <c r="E177" s="407">
        <v>-5.6599999999999998E-2</v>
      </c>
      <c r="F177" s="407">
        <v>2.2000000000000001E-3</v>
      </c>
      <c r="G177" s="407">
        <v>-6.9999999999999999E-4</v>
      </c>
      <c r="H177" s="407">
        <v>-1E-3</v>
      </c>
      <c r="I177" s="409">
        <v>1.4E-3</v>
      </c>
      <c r="J177" s="407">
        <v>1E-4</v>
      </c>
      <c r="K177" s="410">
        <v>0.26650000000000001</v>
      </c>
      <c r="L177" s="422">
        <v>2.8E-3</v>
      </c>
      <c r="M177" s="412">
        <v>1.6539999999999999E-2</v>
      </c>
      <c r="N177" s="413">
        <v>1.3999999999999999E-4</v>
      </c>
      <c r="O177" s="414">
        <v>0.87519999999999998</v>
      </c>
      <c r="P177" s="415">
        <v>0.17730000000000001</v>
      </c>
      <c r="Q177" s="415">
        <v>9.1600000000000001E-2</v>
      </c>
      <c r="R177" s="415">
        <v>2.9700000000000001E-2</v>
      </c>
      <c r="S177" s="415">
        <v>-2.58E-2</v>
      </c>
      <c r="T177" s="415">
        <v>-1.5900000000000001E-2</v>
      </c>
      <c r="U177" s="415">
        <v>8.2000000000000007E-3</v>
      </c>
      <c r="V177" s="415">
        <v>7.9000000000000008E-3</v>
      </c>
      <c r="W177" s="415">
        <v>7.4000000000000003E-3</v>
      </c>
      <c r="X177" s="416">
        <v>0.7137</v>
      </c>
      <c r="Y177" s="418">
        <v>3.9100000000000003E-2</v>
      </c>
      <c r="Z177" s="418">
        <v>3.8600000000000002E-2</v>
      </c>
      <c r="AA177" s="418">
        <v>2.41E-2</v>
      </c>
      <c r="AB177" s="419">
        <v>20701.905500000001</v>
      </c>
      <c r="AC177" s="419">
        <v>3663.1115</v>
      </c>
      <c r="AD177" s="419">
        <v>2927.2006999999999</v>
      </c>
      <c r="AE177" s="419">
        <v>564.37850000000003</v>
      </c>
      <c r="AF177" s="420">
        <v>4.8999999999999998E-3</v>
      </c>
      <c r="AG177" s="370"/>
    </row>
    <row r="178" spans="1:33">
      <c r="A178" s="370"/>
      <c r="B178" s="406">
        <f t="shared" si="3"/>
        <v>173</v>
      </c>
      <c r="C178" s="407">
        <v>2.1100000000000001E-2</v>
      </c>
      <c r="D178" s="407">
        <v>2.9999999999999997E-4</v>
      </c>
      <c r="E178" s="407">
        <v>-4.9599999999999998E-2</v>
      </c>
      <c r="F178" s="407">
        <v>2E-3</v>
      </c>
      <c r="G178" s="407">
        <v>-5.9999999999999995E-4</v>
      </c>
      <c r="H178" s="407">
        <v>-8.9999999999999998E-4</v>
      </c>
      <c r="I178" s="409">
        <v>1.2999999999999999E-3</v>
      </c>
      <c r="J178" s="407">
        <v>1E-4</v>
      </c>
      <c r="K178" s="410">
        <v>0.23330000000000001</v>
      </c>
      <c r="L178" s="422">
        <v>2.3999999999999998E-3</v>
      </c>
      <c r="M178" s="412">
        <v>1.6580000000000001E-2</v>
      </c>
      <c r="N178" s="413">
        <v>1.3999999999999999E-4</v>
      </c>
      <c r="O178" s="414">
        <v>0.76639999999999997</v>
      </c>
      <c r="P178" s="415">
        <v>0.15529999999999999</v>
      </c>
      <c r="Q178" s="415">
        <v>8.0199999999999994E-2</v>
      </c>
      <c r="R178" s="415">
        <v>2.5999999999999999E-2</v>
      </c>
      <c r="S178" s="415">
        <v>-2.2599999999999999E-2</v>
      </c>
      <c r="T178" s="415">
        <v>-1.3899999999999999E-2</v>
      </c>
      <c r="U178" s="415">
        <v>7.1999999999999998E-3</v>
      </c>
      <c r="V178" s="415">
        <v>7.0000000000000001E-3</v>
      </c>
      <c r="W178" s="415">
        <v>6.4999999999999997E-3</v>
      </c>
      <c r="X178" s="416">
        <v>0.625</v>
      </c>
      <c r="Y178" s="418">
        <v>3.4200000000000001E-2</v>
      </c>
      <c r="Z178" s="418">
        <v>3.3799999999999997E-2</v>
      </c>
      <c r="AA178" s="418">
        <v>2.1100000000000001E-2</v>
      </c>
      <c r="AB178" s="419">
        <v>20749.529699999999</v>
      </c>
      <c r="AC178" s="419">
        <v>3671.5383999999999</v>
      </c>
      <c r="AD178" s="419">
        <v>2933.9346999999998</v>
      </c>
      <c r="AE178" s="419">
        <v>565.67690000000005</v>
      </c>
      <c r="AF178" s="420">
        <v>3.7000000000000002E-3</v>
      </c>
      <c r="AG178" s="370"/>
    </row>
    <row r="179" spans="1:33">
      <c r="A179" s="370"/>
      <c r="B179" s="406">
        <f t="shared" si="3"/>
        <v>174</v>
      </c>
      <c r="C179" s="407">
        <v>1.8100000000000002E-2</v>
      </c>
      <c r="D179" s="407">
        <v>2.0000000000000001E-4</v>
      </c>
      <c r="E179" s="407">
        <v>-4.2500000000000003E-2</v>
      </c>
      <c r="F179" s="407">
        <v>1.6999999999999999E-3</v>
      </c>
      <c r="G179" s="407">
        <v>-5.0000000000000001E-4</v>
      </c>
      <c r="H179" s="407">
        <v>-8.0000000000000004E-4</v>
      </c>
      <c r="I179" s="409">
        <v>1.1000000000000001E-3</v>
      </c>
      <c r="J179" s="407">
        <v>1E-4</v>
      </c>
      <c r="K179" s="410">
        <v>0.2001</v>
      </c>
      <c r="L179" s="422">
        <v>2.0999999999999999E-3</v>
      </c>
      <c r="M179" s="412">
        <v>1.661E-2</v>
      </c>
      <c r="N179" s="413">
        <v>1.3999999999999999E-4</v>
      </c>
      <c r="O179" s="414">
        <v>0.65739999999999998</v>
      </c>
      <c r="P179" s="415">
        <v>0.13320000000000001</v>
      </c>
      <c r="Q179" s="415">
        <v>6.88E-2</v>
      </c>
      <c r="R179" s="415">
        <v>2.23E-2</v>
      </c>
      <c r="S179" s="415">
        <v>-1.9300000000000001E-2</v>
      </c>
      <c r="T179" s="415">
        <v>-1.2E-2</v>
      </c>
      <c r="U179" s="415">
        <v>6.1000000000000004E-3</v>
      </c>
      <c r="V179" s="415">
        <v>6.0000000000000001E-3</v>
      </c>
      <c r="W179" s="415">
        <v>5.5999999999999999E-3</v>
      </c>
      <c r="X179" s="416">
        <v>0.53600000000000003</v>
      </c>
      <c r="Y179" s="418">
        <v>2.93E-2</v>
      </c>
      <c r="Z179" s="418">
        <v>2.9000000000000001E-2</v>
      </c>
      <c r="AA179" s="418">
        <v>1.8100000000000002E-2</v>
      </c>
      <c r="AB179" s="419">
        <v>20790.833299999998</v>
      </c>
      <c r="AC179" s="419">
        <v>3678.8469</v>
      </c>
      <c r="AD179" s="419">
        <v>2939.7748999999999</v>
      </c>
      <c r="AE179" s="419">
        <v>566.80290000000002</v>
      </c>
      <c r="AF179" s="420">
        <v>2.7000000000000001E-3</v>
      </c>
      <c r="AG179" s="370"/>
    </row>
    <row r="180" spans="1:33">
      <c r="A180" s="370"/>
      <c r="B180" s="406">
        <f t="shared" si="3"/>
        <v>175</v>
      </c>
      <c r="C180" s="407">
        <v>1.5100000000000001E-2</v>
      </c>
      <c r="D180" s="407">
        <v>2.0000000000000001E-4</v>
      </c>
      <c r="E180" s="407">
        <v>-3.5499999999999997E-2</v>
      </c>
      <c r="F180" s="407">
        <v>1.4E-3</v>
      </c>
      <c r="G180" s="407">
        <v>-4.0000000000000002E-4</v>
      </c>
      <c r="H180" s="407">
        <v>-5.9999999999999995E-4</v>
      </c>
      <c r="I180" s="409">
        <v>8.9999999999999998E-4</v>
      </c>
      <c r="J180" s="407">
        <v>1E-4</v>
      </c>
      <c r="K180" s="410">
        <v>0.16689999999999999</v>
      </c>
      <c r="L180" s="422">
        <v>1.6999999999999999E-3</v>
      </c>
      <c r="M180" s="412">
        <v>1.6639999999999999E-2</v>
      </c>
      <c r="N180" s="413">
        <v>1.3999999999999999E-4</v>
      </c>
      <c r="O180" s="414">
        <v>0.54810000000000003</v>
      </c>
      <c r="P180" s="415">
        <v>0.111</v>
      </c>
      <c r="Q180" s="415">
        <v>5.74E-2</v>
      </c>
      <c r="R180" s="415">
        <v>1.8599999999999998E-2</v>
      </c>
      <c r="S180" s="415">
        <v>-1.61E-2</v>
      </c>
      <c r="T180" s="415">
        <v>-0.01</v>
      </c>
      <c r="U180" s="415">
        <v>5.1000000000000004E-3</v>
      </c>
      <c r="V180" s="415">
        <v>5.0000000000000001E-3</v>
      </c>
      <c r="W180" s="415">
        <v>4.5999999999999999E-3</v>
      </c>
      <c r="X180" s="416">
        <v>0.44700000000000001</v>
      </c>
      <c r="Y180" s="418">
        <v>2.4500000000000001E-2</v>
      </c>
      <c r="Z180" s="418">
        <v>2.4199999999999999E-2</v>
      </c>
      <c r="AA180" s="418">
        <v>1.5100000000000001E-2</v>
      </c>
      <c r="AB180" s="419">
        <v>20825.803800000002</v>
      </c>
      <c r="AC180" s="419">
        <v>3685.0347999999999</v>
      </c>
      <c r="AD180" s="419">
        <v>2944.7195999999999</v>
      </c>
      <c r="AE180" s="419">
        <v>567.75630000000001</v>
      </c>
      <c r="AF180" s="420">
        <v>1.9E-3</v>
      </c>
      <c r="AG180" s="370"/>
    </row>
    <row r="181" spans="1:33">
      <c r="A181" s="370"/>
      <c r="B181" s="406">
        <f t="shared" si="3"/>
        <v>176</v>
      </c>
      <c r="C181" s="407">
        <v>1.21E-2</v>
      </c>
      <c r="D181" s="407">
        <v>1E-4</v>
      </c>
      <c r="E181" s="407">
        <v>-2.8400000000000002E-2</v>
      </c>
      <c r="F181" s="407">
        <v>1.1000000000000001E-3</v>
      </c>
      <c r="G181" s="407">
        <v>-4.0000000000000002E-4</v>
      </c>
      <c r="H181" s="407">
        <v>-5.0000000000000001E-4</v>
      </c>
      <c r="I181" s="409">
        <v>6.9999999999999999E-4</v>
      </c>
      <c r="J181" s="407">
        <v>1E-4</v>
      </c>
      <c r="K181" s="410">
        <v>0.1336</v>
      </c>
      <c r="L181" s="422">
        <v>1.4E-3</v>
      </c>
      <c r="M181" s="412">
        <v>1.6660000000000001E-2</v>
      </c>
      <c r="N181" s="413">
        <v>1.3999999999999999E-4</v>
      </c>
      <c r="O181" s="414">
        <v>0.43869999999999998</v>
      </c>
      <c r="P181" s="415">
        <v>8.8900000000000007E-2</v>
      </c>
      <c r="Q181" s="415">
        <v>4.5900000000000003E-2</v>
      </c>
      <c r="R181" s="415">
        <v>1.49E-2</v>
      </c>
      <c r="S181" s="415">
        <v>-1.29E-2</v>
      </c>
      <c r="T181" s="415">
        <v>-8.0000000000000002E-3</v>
      </c>
      <c r="U181" s="415">
        <v>4.1000000000000003E-3</v>
      </c>
      <c r="V181" s="415">
        <v>4.0000000000000001E-3</v>
      </c>
      <c r="W181" s="415">
        <v>3.7000000000000002E-3</v>
      </c>
      <c r="X181" s="416">
        <v>0.35770000000000002</v>
      </c>
      <c r="Y181" s="418">
        <v>1.9599999999999999E-2</v>
      </c>
      <c r="Z181" s="418">
        <v>1.9400000000000001E-2</v>
      </c>
      <c r="AA181" s="418">
        <v>1.21E-2</v>
      </c>
      <c r="AB181" s="419">
        <v>20854.4306</v>
      </c>
      <c r="AC181" s="419">
        <v>3690.1001999999999</v>
      </c>
      <c r="AD181" s="419">
        <v>2948.7674000000002</v>
      </c>
      <c r="AE181" s="419">
        <v>568.5367</v>
      </c>
      <c r="AF181" s="420">
        <v>1.1999999999999999E-3</v>
      </c>
      <c r="AG181" s="370"/>
    </row>
    <row r="182" spans="1:33">
      <c r="A182" s="370"/>
      <c r="B182" s="406">
        <f t="shared" si="3"/>
        <v>177</v>
      </c>
      <c r="C182" s="407">
        <v>9.1000000000000004E-3</v>
      </c>
      <c r="D182" s="407">
        <v>1E-4</v>
      </c>
      <c r="E182" s="407">
        <v>-2.1299999999999999E-2</v>
      </c>
      <c r="F182" s="407">
        <v>8.0000000000000004E-4</v>
      </c>
      <c r="G182" s="407">
        <v>-2.9999999999999997E-4</v>
      </c>
      <c r="H182" s="407">
        <v>-4.0000000000000002E-4</v>
      </c>
      <c r="I182" s="409">
        <v>5.0000000000000001E-4</v>
      </c>
      <c r="J182" s="407">
        <v>1E-4</v>
      </c>
      <c r="K182" s="410">
        <v>0.1002</v>
      </c>
      <c r="L182" s="422">
        <v>1E-3</v>
      </c>
      <c r="M182" s="412">
        <v>1.668E-2</v>
      </c>
      <c r="N182" s="413">
        <v>1.3999999999999999E-4</v>
      </c>
      <c r="O182" s="414">
        <v>0.3291</v>
      </c>
      <c r="P182" s="415">
        <v>6.6699999999999995E-2</v>
      </c>
      <c r="Q182" s="415">
        <v>3.4500000000000003E-2</v>
      </c>
      <c r="R182" s="415">
        <v>1.12E-2</v>
      </c>
      <c r="S182" s="415">
        <v>-9.7000000000000003E-3</v>
      </c>
      <c r="T182" s="415">
        <v>-6.0000000000000001E-3</v>
      </c>
      <c r="U182" s="415">
        <v>3.0999999999999999E-3</v>
      </c>
      <c r="V182" s="415">
        <v>3.0000000000000001E-3</v>
      </c>
      <c r="W182" s="415">
        <v>2.8E-3</v>
      </c>
      <c r="X182" s="416">
        <v>0.26840000000000003</v>
      </c>
      <c r="Y182" s="418">
        <v>1.47E-2</v>
      </c>
      <c r="Z182" s="418">
        <v>1.4500000000000001E-2</v>
      </c>
      <c r="AA182" s="418">
        <v>9.1000000000000004E-3</v>
      </c>
      <c r="AB182" s="419">
        <v>20876.704900000001</v>
      </c>
      <c r="AC182" s="419">
        <v>3694.0414999999998</v>
      </c>
      <c r="AD182" s="419">
        <v>2951.9169000000002</v>
      </c>
      <c r="AE182" s="419">
        <v>569.14390000000003</v>
      </c>
      <c r="AF182" s="420">
        <v>6.9999999999999999E-4</v>
      </c>
      <c r="AG182" s="370"/>
    </row>
    <row r="183" spans="1:33">
      <c r="A183" s="370"/>
      <c r="B183" s="406">
        <f t="shared" si="3"/>
        <v>178</v>
      </c>
      <c r="C183" s="407">
        <v>6.1000000000000004E-3</v>
      </c>
      <c r="D183" s="407">
        <v>1E-4</v>
      </c>
      <c r="E183" s="407">
        <v>-1.4200000000000001E-2</v>
      </c>
      <c r="F183" s="407">
        <v>5.9999999999999995E-4</v>
      </c>
      <c r="G183" s="407">
        <v>-2.0000000000000001E-4</v>
      </c>
      <c r="H183" s="407">
        <v>-2.9999999999999997E-4</v>
      </c>
      <c r="I183" s="409">
        <v>4.0000000000000002E-4</v>
      </c>
      <c r="J183" s="407">
        <v>0</v>
      </c>
      <c r="K183" s="410">
        <v>6.6799999999999998E-2</v>
      </c>
      <c r="L183" s="422">
        <v>6.9999999999999999E-4</v>
      </c>
      <c r="M183" s="412">
        <v>1.669E-2</v>
      </c>
      <c r="N183" s="413">
        <v>1.3999999999999999E-4</v>
      </c>
      <c r="O183" s="414">
        <v>0.2195</v>
      </c>
      <c r="P183" s="415">
        <v>4.4499999999999998E-2</v>
      </c>
      <c r="Q183" s="415">
        <v>2.3E-2</v>
      </c>
      <c r="R183" s="415">
        <v>7.4999999999999997E-3</v>
      </c>
      <c r="S183" s="415">
        <v>-6.4999999999999997E-3</v>
      </c>
      <c r="T183" s="415">
        <v>-4.0000000000000001E-3</v>
      </c>
      <c r="U183" s="415">
        <v>2.0999999999999999E-3</v>
      </c>
      <c r="V183" s="415">
        <v>2E-3</v>
      </c>
      <c r="W183" s="415">
        <v>1.9E-3</v>
      </c>
      <c r="X183" s="416">
        <v>0.17899999999999999</v>
      </c>
      <c r="Y183" s="418">
        <v>9.7999999999999997E-3</v>
      </c>
      <c r="Z183" s="418">
        <v>9.7000000000000003E-3</v>
      </c>
      <c r="AA183" s="418">
        <v>6.0000000000000001E-3</v>
      </c>
      <c r="AB183" s="419">
        <v>20892.62</v>
      </c>
      <c r="AC183" s="419">
        <v>3696.8575999999998</v>
      </c>
      <c r="AD183" s="419">
        <v>2954.1673000000001</v>
      </c>
      <c r="AE183" s="419">
        <v>569.57780000000002</v>
      </c>
      <c r="AF183" s="420">
        <v>2.9999999999999997E-4</v>
      </c>
      <c r="AG183" s="370"/>
    </row>
    <row r="184" spans="1:33">
      <c r="A184" s="370"/>
      <c r="B184" s="406">
        <f t="shared" si="3"/>
        <v>179</v>
      </c>
      <c r="C184" s="407">
        <v>3.0000000000000001E-3</v>
      </c>
      <c r="D184" s="407">
        <v>0</v>
      </c>
      <c r="E184" s="407">
        <v>-7.1000000000000004E-3</v>
      </c>
      <c r="F184" s="407">
        <v>2.9999999999999997E-4</v>
      </c>
      <c r="G184" s="407">
        <v>-1E-4</v>
      </c>
      <c r="H184" s="407">
        <v>-1E-4</v>
      </c>
      <c r="I184" s="409">
        <v>2.0000000000000001E-4</v>
      </c>
      <c r="J184" s="407">
        <v>0</v>
      </c>
      <c r="K184" s="410">
        <v>3.3399999999999999E-2</v>
      </c>
      <c r="L184" s="422">
        <v>2.9999999999999997E-4</v>
      </c>
      <c r="M184" s="412">
        <v>1.67E-2</v>
      </c>
      <c r="N184" s="413">
        <v>1.3999999999999999E-4</v>
      </c>
      <c r="O184" s="414">
        <v>0.10979999999999999</v>
      </c>
      <c r="P184" s="415">
        <v>2.2200000000000001E-2</v>
      </c>
      <c r="Q184" s="415">
        <v>1.15E-2</v>
      </c>
      <c r="R184" s="415">
        <v>3.7000000000000002E-3</v>
      </c>
      <c r="S184" s="415">
        <v>-3.2000000000000002E-3</v>
      </c>
      <c r="T184" s="415">
        <v>-2E-3</v>
      </c>
      <c r="U184" s="415">
        <v>1E-3</v>
      </c>
      <c r="V184" s="415">
        <v>1E-3</v>
      </c>
      <c r="W184" s="415">
        <v>8.9999999999999998E-4</v>
      </c>
      <c r="X184" s="416">
        <v>8.9499999999999996E-2</v>
      </c>
      <c r="Y184" s="418">
        <v>4.8999999999999998E-3</v>
      </c>
      <c r="Z184" s="418">
        <v>4.7999999999999996E-3</v>
      </c>
      <c r="AA184" s="418">
        <v>3.0000000000000001E-3</v>
      </c>
      <c r="AB184" s="419">
        <v>20902.170999999998</v>
      </c>
      <c r="AC184" s="419">
        <v>3698.5475999999999</v>
      </c>
      <c r="AD184" s="419">
        <v>2955.5178000000001</v>
      </c>
      <c r="AE184" s="419">
        <v>569.83820000000003</v>
      </c>
      <c r="AF184" s="420">
        <v>1E-4</v>
      </c>
      <c r="AG184" s="370"/>
    </row>
    <row r="185" spans="1:33">
      <c r="A185" s="370"/>
      <c r="B185" s="406">
        <f t="shared" si="3"/>
        <v>180</v>
      </c>
      <c r="C185" s="407">
        <v>0</v>
      </c>
      <c r="D185" s="407">
        <v>0</v>
      </c>
      <c r="E185" s="407">
        <v>0</v>
      </c>
      <c r="F185" s="407">
        <v>0</v>
      </c>
      <c r="G185" s="407">
        <v>0</v>
      </c>
      <c r="H185" s="407">
        <v>0</v>
      </c>
      <c r="I185" s="409">
        <v>0</v>
      </c>
      <c r="J185" s="407">
        <v>0</v>
      </c>
      <c r="K185" s="410">
        <v>0</v>
      </c>
      <c r="L185" s="422">
        <v>0</v>
      </c>
      <c r="M185" s="412">
        <v>1.67E-2</v>
      </c>
      <c r="N185" s="413">
        <v>1.3999999999999999E-4</v>
      </c>
      <c r="O185" s="414">
        <v>0</v>
      </c>
      <c r="P185" s="415">
        <v>0</v>
      </c>
      <c r="Q185" s="415">
        <v>0</v>
      </c>
      <c r="R185" s="415">
        <v>0</v>
      </c>
      <c r="S185" s="415">
        <v>0</v>
      </c>
      <c r="T185" s="415">
        <v>0</v>
      </c>
      <c r="U185" s="415">
        <v>0</v>
      </c>
      <c r="V185" s="415">
        <v>0</v>
      </c>
      <c r="W185" s="415">
        <v>0</v>
      </c>
      <c r="X185" s="416">
        <v>0</v>
      </c>
      <c r="Y185" s="418">
        <v>0</v>
      </c>
      <c r="Z185" s="418">
        <v>0</v>
      </c>
      <c r="AA185" s="418">
        <v>0</v>
      </c>
      <c r="AB185" s="419">
        <v>20905.355</v>
      </c>
      <c r="AC185" s="419">
        <v>3699.1109999999999</v>
      </c>
      <c r="AD185" s="419">
        <v>2955.9679999999998</v>
      </c>
      <c r="AE185" s="419">
        <v>569.92499999999995</v>
      </c>
      <c r="AF185" s="420">
        <v>0</v>
      </c>
      <c r="AG185" s="370"/>
    </row>
    <row r="186" spans="1:33">
      <c r="A186" s="370"/>
      <c r="B186" s="406">
        <f t="shared" si="3"/>
        <v>181</v>
      </c>
      <c r="C186" s="407">
        <v>-3.0000000000000001E-3</v>
      </c>
      <c r="D186" s="407">
        <v>0</v>
      </c>
      <c r="E186" s="407">
        <v>7.1000000000000004E-3</v>
      </c>
      <c r="F186" s="407">
        <v>-2.9999999999999997E-4</v>
      </c>
      <c r="G186" s="408">
        <v>1E-4</v>
      </c>
      <c r="H186" s="409">
        <v>1E-4</v>
      </c>
      <c r="I186" s="409">
        <v>-2.0000000000000001E-4</v>
      </c>
      <c r="J186" s="409">
        <v>0</v>
      </c>
      <c r="K186" s="410">
        <v>-3.3399999999999999E-2</v>
      </c>
      <c r="L186" s="411">
        <v>-2.9999999999999997E-4</v>
      </c>
      <c r="M186" s="412">
        <v>1.67E-2</v>
      </c>
      <c r="N186" s="413">
        <v>1.3999999999999999E-4</v>
      </c>
      <c r="O186" s="415">
        <v>-0.10979999999999999</v>
      </c>
      <c r="P186" s="415">
        <v>-2.2200000000000001E-2</v>
      </c>
      <c r="Q186" s="415">
        <v>-1.15E-2</v>
      </c>
      <c r="R186" s="415">
        <v>-3.7000000000000002E-3</v>
      </c>
      <c r="S186" s="415">
        <v>3.2000000000000002E-3</v>
      </c>
      <c r="T186" s="415">
        <v>2E-3</v>
      </c>
      <c r="U186" s="415">
        <v>-1E-3</v>
      </c>
      <c r="V186" s="415">
        <v>-1E-3</v>
      </c>
      <c r="W186" s="415">
        <v>-8.9999999999999998E-4</v>
      </c>
      <c r="X186" s="416">
        <v>-8.9499999999999996E-2</v>
      </c>
      <c r="Y186" s="418">
        <v>-4.8999999999999998E-3</v>
      </c>
      <c r="Z186" s="418">
        <v>-4.7999999999999996E-3</v>
      </c>
      <c r="AA186" s="418">
        <v>-3.0000000000000001E-3</v>
      </c>
      <c r="AB186" s="419">
        <v>20902.170999999998</v>
      </c>
      <c r="AC186" s="419">
        <v>3698.5475999999999</v>
      </c>
      <c r="AD186" s="419">
        <v>2955.5178000000001</v>
      </c>
      <c r="AE186" s="419">
        <v>569.83820000000003</v>
      </c>
      <c r="AF186" s="420">
        <v>1E-4</v>
      </c>
      <c r="AG186" s="370"/>
    </row>
    <row r="187" spans="1:33">
      <c r="A187" s="370"/>
      <c r="B187" s="406">
        <f t="shared" si="3"/>
        <v>182</v>
      </c>
      <c r="C187" s="407">
        <v>-6.1000000000000004E-3</v>
      </c>
      <c r="D187" s="407">
        <v>-1E-4</v>
      </c>
      <c r="E187" s="407">
        <v>1.4200000000000001E-2</v>
      </c>
      <c r="F187" s="407">
        <v>-5.9999999999999995E-4</v>
      </c>
      <c r="G187" s="408">
        <v>2.0000000000000001E-4</v>
      </c>
      <c r="H187" s="409">
        <v>2.9999999999999997E-4</v>
      </c>
      <c r="I187" s="409">
        <v>-4.0000000000000002E-4</v>
      </c>
      <c r="J187" s="409">
        <v>0</v>
      </c>
      <c r="K187" s="410">
        <v>-6.6799999999999998E-2</v>
      </c>
      <c r="L187" s="411">
        <v>-6.9999999999999999E-4</v>
      </c>
      <c r="M187" s="412">
        <v>1.669E-2</v>
      </c>
      <c r="N187" s="413">
        <v>1.3999999999999999E-4</v>
      </c>
      <c r="O187" s="415">
        <v>-0.2195</v>
      </c>
      <c r="P187" s="415">
        <v>-4.4499999999999998E-2</v>
      </c>
      <c r="Q187" s="415">
        <v>-2.3E-2</v>
      </c>
      <c r="R187" s="415">
        <v>-7.4999999999999997E-3</v>
      </c>
      <c r="S187" s="415">
        <v>6.4999999999999997E-3</v>
      </c>
      <c r="T187" s="415">
        <v>4.0000000000000001E-3</v>
      </c>
      <c r="U187" s="415">
        <v>-2.0999999999999999E-3</v>
      </c>
      <c r="V187" s="415">
        <v>-2E-3</v>
      </c>
      <c r="W187" s="415">
        <v>-1.9E-3</v>
      </c>
      <c r="X187" s="416">
        <v>-0.17899999999999999</v>
      </c>
      <c r="Y187" s="418">
        <v>-9.7999999999999997E-3</v>
      </c>
      <c r="Z187" s="418">
        <v>-9.7000000000000003E-3</v>
      </c>
      <c r="AA187" s="418">
        <v>-6.0000000000000001E-3</v>
      </c>
      <c r="AB187" s="419">
        <v>20892.62</v>
      </c>
      <c r="AC187" s="419">
        <v>3696.8575999999998</v>
      </c>
      <c r="AD187" s="419">
        <v>2954.1673000000001</v>
      </c>
      <c r="AE187" s="419">
        <v>569.57780000000002</v>
      </c>
      <c r="AF187" s="420">
        <v>2.9999999999999997E-4</v>
      </c>
      <c r="AG187" s="370"/>
    </row>
    <row r="188" spans="1:33">
      <c r="A188" s="370"/>
      <c r="B188" s="406">
        <f t="shared" si="3"/>
        <v>183</v>
      </c>
      <c r="C188" s="407">
        <v>-9.1000000000000004E-3</v>
      </c>
      <c r="D188" s="407">
        <v>-1E-4</v>
      </c>
      <c r="E188" s="407">
        <v>2.1299999999999999E-2</v>
      </c>
      <c r="F188" s="407">
        <v>-8.0000000000000004E-4</v>
      </c>
      <c r="G188" s="408">
        <v>2.9999999999999997E-4</v>
      </c>
      <c r="H188" s="409">
        <v>4.0000000000000002E-4</v>
      </c>
      <c r="I188" s="409">
        <v>-5.0000000000000001E-4</v>
      </c>
      <c r="J188" s="409">
        <v>-1E-4</v>
      </c>
      <c r="K188" s="410">
        <v>-0.1002</v>
      </c>
      <c r="L188" s="422">
        <v>-1E-3</v>
      </c>
      <c r="M188" s="412">
        <v>1.668E-2</v>
      </c>
      <c r="N188" s="413">
        <v>1.3999999999999999E-4</v>
      </c>
      <c r="O188" s="415">
        <v>-0.3291</v>
      </c>
      <c r="P188" s="415">
        <v>-6.6699999999999995E-2</v>
      </c>
      <c r="Q188" s="415">
        <v>-3.4500000000000003E-2</v>
      </c>
      <c r="R188" s="415">
        <v>-1.12E-2</v>
      </c>
      <c r="S188" s="415">
        <v>9.7000000000000003E-3</v>
      </c>
      <c r="T188" s="415">
        <v>6.0000000000000001E-3</v>
      </c>
      <c r="U188" s="415">
        <v>-3.0999999999999999E-3</v>
      </c>
      <c r="V188" s="415">
        <v>-3.0000000000000001E-3</v>
      </c>
      <c r="W188" s="415">
        <v>-2.8E-3</v>
      </c>
      <c r="X188" s="416">
        <v>-0.26840000000000003</v>
      </c>
      <c r="Y188" s="418">
        <v>-1.47E-2</v>
      </c>
      <c r="Z188" s="418">
        <v>-1.4500000000000001E-2</v>
      </c>
      <c r="AA188" s="418">
        <v>-9.1000000000000004E-3</v>
      </c>
      <c r="AB188" s="419">
        <v>20876.704900000001</v>
      </c>
      <c r="AC188" s="419">
        <v>3694.0414999999998</v>
      </c>
      <c r="AD188" s="419">
        <v>2951.9169000000002</v>
      </c>
      <c r="AE188" s="419">
        <v>569.14390000000003</v>
      </c>
      <c r="AF188" s="420">
        <v>6.9999999999999999E-4</v>
      </c>
      <c r="AG188" s="370"/>
    </row>
    <row r="189" spans="1:33">
      <c r="A189" s="370"/>
      <c r="B189" s="406">
        <f t="shared" si="3"/>
        <v>184</v>
      </c>
      <c r="C189" s="407">
        <v>-1.21E-2</v>
      </c>
      <c r="D189" s="407">
        <v>-1E-4</v>
      </c>
      <c r="E189" s="407">
        <v>2.8400000000000002E-2</v>
      </c>
      <c r="F189" s="407">
        <v>-1.1000000000000001E-3</v>
      </c>
      <c r="G189" s="408">
        <v>4.0000000000000002E-4</v>
      </c>
      <c r="H189" s="409">
        <v>5.0000000000000001E-4</v>
      </c>
      <c r="I189" s="409">
        <v>-6.9999999999999999E-4</v>
      </c>
      <c r="J189" s="409">
        <v>-1E-4</v>
      </c>
      <c r="K189" s="410">
        <v>-0.1336</v>
      </c>
      <c r="L189" s="422">
        <v>-1.4E-3</v>
      </c>
      <c r="M189" s="412">
        <v>1.6660000000000001E-2</v>
      </c>
      <c r="N189" s="423">
        <v>1.3999999999999999E-4</v>
      </c>
      <c r="O189" s="415">
        <v>-0.43869999999999998</v>
      </c>
      <c r="P189" s="415">
        <v>-8.8900000000000007E-2</v>
      </c>
      <c r="Q189" s="415">
        <v>-4.5900000000000003E-2</v>
      </c>
      <c r="R189" s="415">
        <v>-1.49E-2</v>
      </c>
      <c r="S189" s="415">
        <v>1.29E-2</v>
      </c>
      <c r="T189" s="415">
        <v>8.0000000000000002E-3</v>
      </c>
      <c r="U189" s="415">
        <v>-4.1000000000000003E-3</v>
      </c>
      <c r="V189" s="415">
        <v>-4.0000000000000001E-3</v>
      </c>
      <c r="W189" s="415">
        <v>-3.7000000000000002E-3</v>
      </c>
      <c r="X189" s="416">
        <v>-0.35770000000000002</v>
      </c>
      <c r="Y189" s="418">
        <v>-1.9599999999999999E-2</v>
      </c>
      <c r="Z189" s="418">
        <v>-1.9400000000000001E-2</v>
      </c>
      <c r="AA189" s="418">
        <v>-1.21E-2</v>
      </c>
      <c r="AB189" s="419">
        <v>20854.4306</v>
      </c>
      <c r="AC189" s="419">
        <v>3690.1001999999999</v>
      </c>
      <c r="AD189" s="419">
        <v>2948.7674000000002</v>
      </c>
      <c r="AE189" s="419">
        <v>568.5367</v>
      </c>
      <c r="AF189" s="420">
        <v>1.1999999999999999E-3</v>
      </c>
      <c r="AG189" s="370"/>
    </row>
    <row r="190" spans="1:33">
      <c r="A190" s="370"/>
      <c r="B190" s="406">
        <f t="shared" si="3"/>
        <v>185</v>
      </c>
      <c r="C190" s="407">
        <v>-1.5100000000000001E-2</v>
      </c>
      <c r="D190" s="407">
        <v>-2.0000000000000001E-4</v>
      </c>
      <c r="E190" s="407">
        <v>3.5499999999999997E-2</v>
      </c>
      <c r="F190" s="407">
        <v>-1.4E-3</v>
      </c>
      <c r="G190" s="408">
        <v>4.0000000000000002E-4</v>
      </c>
      <c r="H190" s="409">
        <v>5.9999999999999995E-4</v>
      </c>
      <c r="I190" s="409">
        <v>-8.9999999999999998E-4</v>
      </c>
      <c r="J190" s="409">
        <v>-1E-4</v>
      </c>
      <c r="K190" s="410">
        <v>-0.16689999999999999</v>
      </c>
      <c r="L190" s="422">
        <v>-1.6999999999999999E-3</v>
      </c>
      <c r="M190" s="412">
        <v>1.6639999999999999E-2</v>
      </c>
      <c r="N190" s="423">
        <v>1.3999999999999999E-4</v>
      </c>
      <c r="O190" s="415">
        <v>-0.54810000000000003</v>
      </c>
      <c r="P190" s="415">
        <v>-0.111</v>
      </c>
      <c r="Q190" s="415">
        <v>-5.74E-2</v>
      </c>
      <c r="R190" s="415">
        <v>-1.8599999999999998E-2</v>
      </c>
      <c r="S190" s="415">
        <v>1.61E-2</v>
      </c>
      <c r="T190" s="415">
        <v>0.01</v>
      </c>
      <c r="U190" s="415">
        <v>-5.1000000000000004E-3</v>
      </c>
      <c r="V190" s="415">
        <v>-5.0000000000000001E-3</v>
      </c>
      <c r="W190" s="415">
        <v>-4.5999999999999999E-3</v>
      </c>
      <c r="X190" s="416">
        <v>-0.44700000000000001</v>
      </c>
      <c r="Y190" s="418">
        <v>-2.4500000000000001E-2</v>
      </c>
      <c r="Z190" s="418">
        <v>-2.4199999999999999E-2</v>
      </c>
      <c r="AA190" s="418">
        <v>-1.5100000000000001E-2</v>
      </c>
      <c r="AB190" s="419">
        <v>20825.803800000002</v>
      </c>
      <c r="AC190" s="419">
        <v>3685.0347999999999</v>
      </c>
      <c r="AD190" s="419">
        <v>2944.7195999999999</v>
      </c>
      <c r="AE190" s="419">
        <v>567.75630000000001</v>
      </c>
      <c r="AF190" s="420">
        <v>1.9E-3</v>
      </c>
      <c r="AG190" s="370"/>
    </row>
    <row r="191" spans="1:33">
      <c r="A191" s="370"/>
      <c r="B191" s="406">
        <f t="shared" si="3"/>
        <v>186</v>
      </c>
      <c r="C191" s="407">
        <v>-1.8100000000000002E-2</v>
      </c>
      <c r="D191" s="407">
        <v>-2.0000000000000001E-4</v>
      </c>
      <c r="E191" s="407">
        <v>4.2500000000000003E-2</v>
      </c>
      <c r="F191" s="407">
        <v>-1.6999999999999999E-3</v>
      </c>
      <c r="G191" s="408">
        <v>5.0000000000000001E-4</v>
      </c>
      <c r="H191" s="409">
        <v>8.0000000000000004E-4</v>
      </c>
      <c r="I191" s="409">
        <v>-1.1000000000000001E-3</v>
      </c>
      <c r="J191" s="409">
        <v>-1E-4</v>
      </c>
      <c r="K191" s="410">
        <v>-0.2001</v>
      </c>
      <c r="L191" s="422">
        <v>-2.0999999999999999E-3</v>
      </c>
      <c r="M191" s="412">
        <v>1.661E-2</v>
      </c>
      <c r="N191" s="413">
        <v>1.3999999999999999E-4</v>
      </c>
      <c r="O191" s="415">
        <v>-0.65739999999999998</v>
      </c>
      <c r="P191" s="415">
        <v>-0.13320000000000001</v>
      </c>
      <c r="Q191" s="415">
        <v>-6.88E-2</v>
      </c>
      <c r="R191" s="415">
        <v>-2.23E-2</v>
      </c>
      <c r="S191" s="415">
        <v>1.9300000000000001E-2</v>
      </c>
      <c r="T191" s="415">
        <v>1.2E-2</v>
      </c>
      <c r="U191" s="415">
        <v>-6.1000000000000004E-3</v>
      </c>
      <c r="V191" s="415">
        <v>-6.0000000000000001E-3</v>
      </c>
      <c r="W191" s="415">
        <v>-5.5999999999999999E-3</v>
      </c>
      <c r="X191" s="416">
        <v>-0.53600000000000003</v>
      </c>
      <c r="Y191" s="418">
        <v>-2.93E-2</v>
      </c>
      <c r="Z191" s="418">
        <v>-2.9000000000000001E-2</v>
      </c>
      <c r="AA191" s="418">
        <v>-1.8100000000000002E-2</v>
      </c>
      <c r="AB191" s="419">
        <v>20790.833299999998</v>
      </c>
      <c r="AC191" s="419">
        <v>3678.8469</v>
      </c>
      <c r="AD191" s="419">
        <v>2939.7748999999999</v>
      </c>
      <c r="AE191" s="419">
        <v>566.80290000000002</v>
      </c>
      <c r="AF191" s="420">
        <v>2.7000000000000001E-3</v>
      </c>
      <c r="AG191" s="370"/>
    </row>
    <row r="192" spans="1:33">
      <c r="A192" s="370"/>
      <c r="B192" s="406">
        <f t="shared" si="3"/>
        <v>187</v>
      </c>
      <c r="C192" s="407">
        <v>-2.1100000000000001E-2</v>
      </c>
      <c r="D192" s="407">
        <v>-2.9999999999999997E-4</v>
      </c>
      <c r="E192" s="407">
        <v>4.9599999999999998E-2</v>
      </c>
      <c r="F192" s="407">
        <v>-2E-3</v>
      </c>
      <c r="G192" s="408">
        <v>5.9999999999999995E-4</v>
      </c>
      <c r="H192" s="409">
        <v>8.9999999999999998E-4</v>
      </c>
      <c r="I192" s="409">
        <v>-1.2999999999999999E-3</v>
      </c>
      <c r="J192" s="409">
        <v>-1E-4</v>
      </c>
      <c r="K192" s="410">
        <v>-0.23330000000000001</v>
      </c>
      <c r="L192" s="422">
        <v>-2.3999999999999998E-3</v>
      </c>
      <c r="M192" s="412">
        <v>1.6580000000000001E-2</v>
      </c>
      <c r="N192" s="413">
        <v>1.3999999999999999E-4</v>
      </c>
      <c r="O192" s="415">
        <v>-0.76639999999999997</v>
      </c>
      <c r="P192" s="415">
        <v>-0.15529999999999999</v>
      </c>
      <c r="Q192" s="415">
        <v>-8.0199999999999994E-2</v>
      </c>
      <c r="R192" s="415">
        <v>-2.5999999999999999E-2</v>
      </c>
      <c r="S192" s="415">
        <v>2.2599999999999999E-2</v>
      </c>
      <c r="T192" s="415">
        <v>1.3899999999999999E-2</v>
      </c>
      <c r="U192" s="415">
        <v>-7.1999999999999998E-3</v>
      </c>
      <c r="V192" s="415">
        <v>-7.0000000000000001E-3</v>
      </c>
      <c r="W192" s="415">
        <v>-6.4999999999999997E-3</v>
      </c>
      <c r="X192" s="416">
        <v>-0.625</v>
      </c>
      <c r="Y192" s="418">
        <v>-3.4200000000000001E-2</v>
      </c>
      <c r="Z192" s="418">
        <v>-3.3799999999999997E-2</v>
      </c>
      <c r="AA192" s="418">
        <v>-2.1100000000000001E-2</v>
      </c>
      <c r="AB192" s="419">
        <v>20749.529699999999</v>
      </c>
      <c r="AC192" s="419">
        <v>3671.5383999999999</v>
      </c>
      <c r="AD192" s="419">
        <v>2933.9346999999998</v>
      </c>
      <c r="AE192" s="419">
        <v>565.67690000000005</v>
      </c>
      <c r="AF192" s="420">
        <v>3.7000000000000002E-3</v>
      </c>
      <c r="AG192" s="370"/>
    </row>
    <row r="193" spans="1:33">
      <c r="A193" s="370"/>
      <c r="B193" s="406">
        <f t="shared" si="3"/>
        <v>188</v>
      </c>
      <c r="C193" s="407">
        <v>-2.41E-2</v>
      </c>
      <c r="D193" s="407">
        <v>-2.9999999999999997E-4</v>
      </c>
      <c r="E193" s="407">
        <v>5.6599999999999998E-2</v>
      </c>
      <c r="F193" s="407">
        <v>-2.2000000000000001E-3</v>
      </c>
      <c r="G193" s="408">
        <v>6.9999999999999999E-4</v>
      </c>
      <c r="H193" s="409">
        <v>1E-3</v>
      </c>
      <c r="I193" s="409">
        <v>-1.4E-3</v>
      </c>
      <c r="J193" s="409">
        <v>-1E-4</v>
      </c>
      <c r="K193" s="410">
        <v>-0.26650000000000001</v>
      </c>
      <c r="L193" s="422">
        <v>-2.8E-3</v>
      </c>
      <c r="M193" s="412">
        <v>1.6539999999999999E-2</v>
      </c>
      <c r="N193" s="413">
        <v>1.3999999999999999E-4</v>
      </c>
      <c r="O193" s="415">
        <v>-0.87519999999999998</v>
      </c>
      <c r="P193" s="415">
        <v>-0.17730000000000001</v>
      </c>
      <c r="Q193" s="415">
        <v>-9.1600000000000001E-2</v>
      </c>
      <c r="R193" s="415">
        <v>-2.9700000000000001E-2</v>
      </c>
      <c r="S193" s="415">
        <v>2.58E-2</v>
      </c>
      <c r="T193" s="415">
        <v>1.5900000000000001E-2</v>
      </c>
      <c r="U193" s="415">
        <v>-8.2000000000000007E-3</v>
      </c>
      <c r="V193" s="415">
        <v>-7.9000000000000008E-3</v>
      </c>
      <c r="W193" s="415">
        <v>-7.4000000000000003E-3</v>
      </c>
      <c r="X193" s="416">
        <v>-0.7137</v>
      </c>
      <c r="Y193" s="418">
        <v>-3.9100000000000003E-2</v>
      </c>
      <c r="Z193" s="418">
        <v>-3.8600000000000002E-2</v>
      </c>
      <c r="AA193" s="418">
        <v>-2.41E-2</v>
      </c>
      <c r="AB193" s="419">
        <v>20701.905500000001</v>
      </c>
      <c r="AC193" s="419">
        <v>3663.1115</v>
      </c>
      <c r="AD193" s="419">
        <v>2927.2006999999999</v>
      </c>
      <c r="AE193" s="419">
        <v>564.37850000000003</v>
      </c>
      <c r="AF193" s="420">
        <v>4.8999999999999998E-3</v>
      </c>
      <c r="AG193" s="370"/>
    </row>
    <row r="194" spans="1:33">
      <c r="A194" s="370"/>
      <c r="B194" s="406">
        <f t="shared" si="3"/>
        <v>189</v>
      </c>
      <c r="C194" s="407">
        <v>-2.7099999999999999E-2</v>
      </c>
      <c r="D194" s="407">
        <v>-2.9999999999999997E-4</v>
      </c>
      <c r="E194" s="407">
        <v>6.3600000000000004E-2</v>
      </c>
      <c r="F194" s="407">
        <v>-2.5000000000000001E-3</v>
      </c>
      <c r="G194" s="408">
        <v>8.0000000000000004E-4</v>
      </c>
      <c r="H194" s="409">
        <v>1.1999999999999999E-3</v>
      </c>
      <c r="I194" s="409">
        <v>-1.6000000000000001E-3</v>
      </c>
      <c r="J194" s="409">
        <v>-2.0000000000000001E-4</v>
      </c>
      <c r="K194" s="410">
        <v>-0.29949999999999999</v>
      </c>
      <c r="L194" s="422">
        <v>-3.0999999999999999E-3</v>
      </c>
      <c r="M194" s="412">
        <v>1.6490000000000001E-2</v>
      </c>
      <c r="N194" s="413">
        <v>1.3999999999999999E-4</v>
      </c>
      <c r="O194" s="415">
        <v>-0.98380000000000001</v>
      </c>
      <c r="P194" s="415">
        <v>-0.1993</v>
      </c>
      <c r="Q194" s="415">
        <v>-0.10299999999999999</v>
      </c>
      <c r="R194" s="415">
        <v>-3.3399999999999999E-2</v>
      </c>
      <c r="S194" s="415">
        <v>2.9000000000000001E-2</v>
      </c>
      <c r="T194" s="415">
        <v>1.7899999999999999E-2</v>
      </c>
      <c r="U194" s="415">
        <v>-9.1999999999999998E-3</v>
      </c>
      <c r="V194" s="415">
        <v>-8.8999999999999999E-3</v>
      </c>
      <c r="W194" s="415">
        <v>-8.3000000000000001E-3</v>
      </c>
      <c r="X194" s="416">
        <v>-0.80220000000000002</v>
      </c>
      <c r="Y194" s="418">
        <v>-4.3900000000000002E-2</v>
      </c>
      <c r="Z194" s="418">
        <v>-4.3400000000000001E-2</v>
      </c>
      <c r="AA194" s="418">
        <v>-2.7099999999999999E-2</v>
      </c>
      <c r="AB194" s="419">
        <v>20647.975399999999</v>
      </c>
      <c r="AC194" s="419">
        <v>3653.5688</v>
      </c>
      <c r="AD194" s="419">
        <v>2919.5751</v>
      </c>
      <c r="AE194" s="419">
        <v>562.90830000000005</v>
      </c>
      <c r="AF194" s="420">
        <v>6.1999999999999998E-3</v>
      </c>
      <c r="AG194" s="370"/>
    </row>
    <row r="195" spans="1:33">
      <c r="A195" s="370"/>
      <c r="B195" s="406">
        <f t="shared" si="3"/>
        <v>190</v>
      </c>
      <c r="C195" s="407">
        <v>-3.0099999999999998E-2</v>
      </c>
      <c r="D195" s="407">
        <v>-4.0000000000000002E-4</v>
      </c>
      <c r="E195" s="407">
        <v>7.0599999999999996E-2</v>
      </c>
      <c r="F195" s="407">
        <v>-2.8E-3</v>
      </c>
      <c r="G195" s="408">
        <v>8.9999999999999998E-4</v>
      </c>
      <c r="H195" s="409">
        <v>1.2999999999999999E-3</v>
      </c>
      <c r="I195" s="409">
        <v>-1.8E-3</v>
      </c>
      <c r="J195" s="409">
        <v>-2.0000000000000001E-4</v>
      </c>
      <c r="K195" s="410">
        <v>-0.33250000000000002</v>
      </c>
      <c r="L195" s="422">
        <v>-3.5000000000000001E-3</v>
      </c>
      <c r="M195" s="412">
        <v>1.6449999999999999E-2</v>
      </c>
      <c r="N195" s="413">
        <v>1.3999999999999999E-4</v>
      </c>
      <c r="O195" s="415">
        <v>-1.0920000000000001</v>
      </c>
      <c r="P195" s="415">
        <v>-0.22120000000000001</v>
      </c>
      <c r="Q195" s="415">
        <v>-0.1143</v>
      </c>
      <c r="R195" s="415">
        <v>-3.7100000000000001E-2</v>
      </c>
      <c r="S195" s="415">
        <v>3.2099999999999997E-2</v>
      </c>
      <c r="T195" s="415">
        <v>1.9900000000000001E-2</v>
      </c>
      <c r="U195" s="415">
        <v>-1.0200000000000001E-2</v>
      </c>
      <c r="V195" s="415">
        <v>-9.9000000000000008E-3</v>
      </c>
      <c r="W195" s="415">
        <v>-9.2999999999999992E-3</v>
      </c>
      <c r="X195" s="416">
        <v>-0.89049999999999996</v>
      </c>
      <c r="Y195" s="418">
        <v>-4.87E-2</v>
      </c>
      <c r="Z195" s="418">
        <v>-4.82E-2</v>
      </c>
      <c r="AA195" s="418">
        <v>-3.0099999999999998E-2</v>
      </c>
      <c r="AB195" s="419">
        <v>20587.755700000002</v>
      </c>
      <c r="AC195" s="419">
        <v>3642.9132</v>
      </c>
      <c r="AD195" s="419">
        <v>2911.0601999999999</v>
      </c>
      <c r="AE195" s="419">
        <v>561.26660000000004</v>
      </c>
      <c r="AF195" s="420">
        <v>7.6E-3</v>
      </c>
      <c r="AG195" s="370"/>
    </row>
    <row r="196" spans="1:33">
      <c r="A196" s="370"/>
      <c r="B196" s="406">
        <f t="shared" si="3"/>
        <v>191</v>
      </c>
      <c r="C196" s="407">
        <v>-3.3099999999999997E-2</v>
      </c>
      <c r="D196" s="407">
        <v>-4.0000000000000002E-4</v>
      </c>
      <c r="E196" s="407">
        <v>7.7600000000000002E-2</v>
      </c>
      <c r="F196" s="407">
        <v>-3.0999999999999999E-3</v>
      </c>
      <c r="G196" s="408">
        <v>1E-3</v>
      </c>
      <c r="H196" s="409">
        <v>1.4E-3</v>
      </c>
      <c r="I196" s="409">
        <v>-2E-3</v>
      </c>
      <c r="J196" s="409">
        <v>-2.0000000000000001E-4</v>
      </c>
      <c r="K196" s="410">
        <v>-0.36530000000000001</v>
      </c>
      <c r="L196" s="422">
        <v>-3.8E-3</v>
      </c>
      <c r="M196" s="412">
        <v>1.6389999999999998E-2</v>
      </c>
      <c r="N196" s="413">
        <v>1.3999999999999999E-4</v>
      </c>
      <c r="O196" s="415">
        <v>-1.2</v>
      </c>
      <c r="P196" s="415">
        <v>-0.24310000000000001</v>
      </c>
      <c r="Q196" s="415">
        <v>-0.12559999999999999</v>
      </c>
      <c r="R196" s="415">
        <v>-4.0800000000000003E-2</v>
      </c>
      <c r="S196" s="415">
        <v>3.5299999999999998E-2</v>
      </c>
      <c r="T196" s="415">
        <v>2.18E-2</v>
      </c>
      <c r="U196" s="415">
        <v>-1.12E-2</v>
      </c>
      <c r="V196" s="415">
        <v>-1.09E-2</v>
      </c>
      <c r="W196" s="415">
        <v>-1.0200000000000001E-2</v>
      </c>
      <c r="X196" s="416">
        <v>-0.97850000000000004</v>
      </c>
      <c r="Y196" s="418">
        <v>-5.3499999999999999E-2</v>
      </c>
      <c r="Z196" s="418">
        <v>-5.2999999999999999E-2</v>
      </c>
      <c r="AA196" s="418">
        <v>-3.3099999999999997E-2</v>
      </c>
      <c r="AB196" s="419">
        <v>20521.2647</v>
      </c>
      <c r="AC196" s="419">
        <v>3631.1478999999999</v>
      </c>
      <c r="AD196" s="419">
        <v>2901.6585</v>
      </c>
      <c r="AE196" s="419">
        <v>559.45389999999998</v>
      </c>
      <c r="AF196" s="420">
        <v>9.1999999999999998E-3</v>
      </c>
      <c r="AG196" s="370"/>
    </row>
    <row r="197" spans="1:33">
      <c r="A197" s="370"/>
      <c r="B197" s="406">
        <f t="shared" si="3"/>
        <v>192</v>
      </c>
      <c r="C197" s="407">
        <v>-3.61E-2</v>
      </c>
      <c r="D197" s="407">
        <v>-4.0000000000000002E-4</v>
      </c>
      <c r="E197" s="407">
        <v>8.4599999999999995E-2</v>
      </c>
      <c r="F197" s="407">
        <v>-3.3E-3</v>
      </c>
      <c r="G197" s="408">
        <v>1.1000000000000001E-3</v>
      </c>
      <c r="H197" s="409">
        <v>1.5E-3</v>
      </c>
      <c r="I197" s="409">
        <v>-2.2000000000000001E-3</v>
      </c>
      <c r="J197" s="409">
        <v>-2.0000000000000001E-4</v>
      </c>
      <c r="K197" s="410">
        <v>-0.39810000000000001</v>
      </c>
      <c r="L197" s="422">
        <v>-4.1999999999999997E-3</v>
      </c>
      <c r="M197" s="412">
        <v>1.634E-2</v>
      </c>
      <c r="N197" s="413">
        <v>1.3999999999999999E-4</v>
      </c>
      <c r="O197" s="415">
        <v>-1.3075000000000001</v>
      </c>
      <c r="P197" s="415">
        <v>-0.26490000000000002</v>
      </c>
      <c r="Q197" s="415">
        <v>-0.13689999999999999</v>
      </c>
      <c r="R197" s="415">
        <v>-4.4400000000000002E-2</v>
      </c>
      <c r="S197" s="415">
        <v>3.85E-2</v>
      </c>
      <c r="T197" s="415">
        <v>2.3800000000000002E-2</v>
      </c>
      <c r="U197" s="415">
        <v>-1.2200000000000001E-2</v>
      </c>
      <c r="V197" s="415">
        <v>-1.1900000000000001E-2</v>
      </c>
      <c r="W197" s="415">
        <v>-1.11E-2</v>
      </c>
      <c r="X197" s="416">
        <v>-1.0662</v>
      </c>
      <c r="Y197" s="418">
        <v>-5.8299999999999998E-2</v>
      </c>
      <c r="Z197" s="418">
        <v>-5.7700000000000001E-2</v>
      </c>
      <c r="AA197" s="418">
        <v>-3.5999999999999997E-2</v>
      </c>
      <c r="AB197" s="419">
        <v>20448.522799999999</v>
      </c>
      <c r="AC197" s="419">
        <v>3618.2764999999999</v>
      </c>
      <c r="AD197" s="419">
        <v>2891.373</v>
      </c>
      <c r="AE197" s="419">
        <v>557.47080000000005</v>
      </c>
      <c r="AF197" s="420">
        <v>1.09E-2</v>
      </c>
      <c r="AG197" s="370"/>
    </row>
    <row r="198" spans="1:33">
      <c r="A198" s="370"/>
      <c r="B198" s="406">
        <f t="shared" si="3"/>
        <v>193</v>
      </c>
      <c r="C198" s="407">
        <v>-3.9E-2</v>
      </c>
      <c r="D198" s="407">
        <v>-5.0000000000000001E-4</v>
      </c>
      <c r="E198" s="407">
        <v>9.1499999999999998E-2</v>
      </c>
      <c r="F198" s="407">
        <v>-3.5999999999999999E-3</v>
      </c>
      <c r="G198" s="408">
        <v>1.1000000000000001E-3</v>
      </c>
      <c r="H198" s="409">
        <v>1.6999999999999999E-3</v>
      </c>
      <c r="I198" s="409">
        <v>-2.3E-3</v>
      </c>
      <c r="J198" s="409">
        <v>-2.0000000000000001E-4</v>
      </c>
      <c r="K198" s="410">
        <v>-0.43070000000000003</v>
      </c>
      <c r="L198" s="422">
        <v>-4.4999999999999997E-3</v>
      </c>
      <c r="M198" s="412">
        <v>1.627E-2</v>
      </c>
      <c r="N198" s="413">
        <v>1.3999999999999999E-4</v>
      </c>
      <c r="O198" s="415">
        <v>-1.4147000000000001</v>
      </c>
      <c r="P198" s="415">
        <v>-0.28660000000000002</v>
      </c>
      <c r="Q198" s="415">
        <v>-0.14810000000000001</v>
      </c>
      <c r="R198" s="415">
        <v>-4.8099999999999997E-2</v>
      </c>
      <c r="S198" s="415">
        <v>4.1599999999999998E-2</v>
      </c>
      <c r="T198" s="415">
        <v>2.5700000000000001E-2</v>
      </c>
      <c r="U198" s="415">
        <v>-1.32E-2</v>
      </c>
      <c r="V198" s="415">
        <v>-1.2800000000000001E-2</v>
      </c>
      <c r="W198" s="415">
        <v>-1.2E-2</v>
      </c>
      <c r="X198" s="416">
        <v>-1.1536</v>
      </c>
      <c r="Y198" s="418">
        <v>-6.3100000000000003E-2</v>
      </c>
      <c r="Z198" s="418">
        <v>-6.25E-2</v>
      </c>
      <c r="AA198" s="418">
        <v>-3.9E-2</v>
      </c>
      <c r="AB198" s="419">
        <v>20369.552100000001</v>
      </c>
      <c r="AC198" s="419">
        <v>3604.3029999999999</v>
      </c>
      <c r="AD198" s="419">
        <v>2880.2067000000002</v>
      </c>
      <c r="AE198" s="419">
        <v>555.31790000000001</v>
      </c>
      <c r="AF198" s="420">
        <v>1.2800000000000001E-2</v>
      </c>
      <c r="AG198" s="370"/>
    </row>
    <row r="199" spans="1:33">
      <c r="A199" s="370"/>
      <c r="B199" s="406">
        <f t="shared" si="3"/>
        <v>194</v>
      </c>
      <c r="C199" s="407">
        <v>-4.19E-2</v>
      </c>
      <c r="D199" s="407">
        <v>-5.0000000000000001E-4</v>
      </c>
      <c r="E199" s="407">
        <v>9.8400000000000001E-2</v>
      </c>
      <c r="F199" s="407">
        <v>-3.8999999999999998E-3</v>
      </c>
      <c r="G199" s="408">
        <v>1.1999999999999999E-3</v>
      </c>
      <c r="H199" s="409">
        <v>1.8E-3</v>
      </c>
      <c r="I199" s="409">
        <v>-2.5000000000000001E-3</v>
      </c>
      <c r="J199" s="409">
        <v>-2.0000000000000001E-4</v>
      </c>
      <c r="K199" s="410">
        <v>-0.4632</v>
      </c>
      <c r="L199" s="422">
        <v>-4.7999999999999996E-3</v>
      </c>
      <c r="M199" s="412">
        <v>1.6199999999999999E-2</v>
      </c>
      <c r="N199" s="413">
        <v>1.3999999999999999E-4</v>
      </c>
      <c r="O199" s="415">
        <v>-1.5214000000000001</v>
      </c>
      <c r="P199" s="415">
        <v>-0.30819999999999997</v>
      </c>
      <c r="Q199" s="415">
        <v>-0.1593</v>
      </c>
      <c r="R199" s="415">
        <v>-5.1700000000000003E-2</v>
      </c>
      <c r="S199" s="415">
        <v>4.48E-2</v>
      </c>
      <c r="T199" s="415">
        <v>2.7699999999999999E-2</v>
      </c>
      <c r="U199" s="415">
        <v>-1.4200000000000001E-2</v>
      </c>
      <c r="V199" s="415">
        <v>-1.38E-2</v>
      </c>
      <c r="W199" s="415">
        <v>-1.29E-2</v>
      </c>
      <c r="X199" s="416">
        <v>-1.2405999999999999</v>
      </c>
      <c r="Y199" s="418">
        <v>-6.7900000000000002E-2</v>
      </c>
      <c r="Z199" s="418">
        <v>-6.7199999999999996E-2</v>
      </c>
      <c r="AA199" s="418">
        <v>-4.19E-2</v>
      </c>
      <c r="AB199" s="419">
        <v>20284.3766</v>
      </c>
      <c r="AC199" s="419">
        <v>3589.2316000000001</v>
      </c>
      <c r="AD199" s="419">
        <v>2868.1631000000002</v>
      </c>
      <c r="AE199" s="419">
        <v>552.99580000000003</v>
      </c>
      <c r="AF199" s="420">
        <v>1.49E-2</v>
      </c>
      <c r="AG199" s="370"/>
    </row>
    <row r="200" spans="1:33">
      <c r="A200" s="370"/>
      <c r="B200" s="406">
        <f t="shared" ref="B200:B263" si="4">B199+1</f>
        <v>195</v>
      </c>
      <c r="C200" s="407">
        <v>-4.4900000000000002E-2</v>
      </c>
      <c r="D200" s="407">
        <v>-5.0000000000000001E-4</v>
      </c>
      <c r="E200" s="407">
        <v>0.1053</v>
      </c>
      <c r="F200" s="407">
        <v>-4.1999999999999997E-3</v>
      </c>
      <c r="G200" s="408">
        <v>1.2999999999999999E-3</v>
      </c>
      <c r="H200" s="409">
        <v>1.9E-3</v>
      </c>
      <c r="I200" s="409">
        <v>-2.7000000000000001E-3</v>
      </c>
      <c r="J200" s="409">
        <v>-2.9999999999999997E-4</v>
      </c>
      <c r="K200" s="410">
        <v>-0.4955</v>
      </c>
      <c r="L200" s="422">
        <v>-5.1999999999999998E-3</v>
      </c>
      <c r="M200" s="412">
        <v>1.6129999999999999E-2</v>
      </c>
      <c r="N200" s="413">
        <v>1.3999999999999999E-4</v>
      </c>
      <c r="O200" s="415">
        <v>-1.6276999999999999</v>
      </c>
      <c r="P200" s="415">
        <v>-0.32969999999999999</v>
      </c>
      <c r="Q200" s="415">
        <v>-0.1704</v>
      </c>
      <c r="R200" s="415">
        <v>-5.5300000000000002E-2</v>
      </c>
      <c r="S200" s="415">
        <v>4.7899999999999998E-2</v>
      </c>
      <c r="T200" s="415">
        <v>2.9600000000000001E-2</v>
      </c>
      <c r="U200" s="415">
        <v>-1.52E-2</v>
      </c>
      <c r="V200" s="415">
        <v>-1.4800000000000001E-2</v>
      </c>
      <c r="W200" s="415">
        <v>-1.38E-2</v>
      </c>
      <c r="X200" s="416">
        <v>-1.3272999999999999</v>
      </c>
      <c r="Y200" s="418">
        <v>-7.2599999999999998E-2</v>
      </c>
      <c r="Z200" s="418">
        <v>-7.1900000000000006E-2</v>
      </c>
      <c r="AA200" s="418">
        <v>-4.48E-2</v>
      </c>
      <c r="AB200" s="419">
        <v>20193.022300000001</v>
      </c>
      <c r="AC200" s="419">
        <v>3573.0668000000001</v>
      </c>
      <c r="AD200" s="419">
        <v>2855.2458000000001</v>
      </c>
      <c r="AE200" s="419">
        <v>550.50530000000003</v>
      </c>
      <c r="AF200" s="420">
        <v>1.7000000000000001E-2</v>
      </c>
      <c r="AG200" s="370"/>
    </row>
    <row r="201" spans="1:33">
      <c r="A201" s="370"/>
      <c r="B201" s="406">
        <f t="shared" si="4"/>
        <v>196</v>
      </c>
      <c r="C201" s="407">
        <v>-4.7800000000000002E-2</v>
      </c>
      <c r="D201" s="407">
        <v>-5.9999999999999995E-4</v>
      </c>
      <c r="E201" s="407">
        <v>0.11210000000000001</v>
      </c>
      <c r="F201" s="407">
        <v>-4.4000000000000003E-3</v>
      </c>
      <c r="G201" s="408">
        <v>1.4E-3</v>
      </c>
      <c r="H201" s="409">
        <v>2E-3</v>
      </c>
      <c r="I201" s="409">
        <v>-2.8999999999999998E-3</v>
      </c>
      <c r="J201" s="409">
        <v>-2.9999999999999997E-4</v>
      </c>
      <c r="K201" s="410">
        <v>-0.52769999999999995</v>
      </c>
      <c r="L201" s="422">
        <v>-5.4999999999999997E-3</v>
      </c>
      <c r="M201" s="412">
        <v>1.6049999999999998E-2</v>
      </c>
      <c r="N201" s="413">
        <v>1.2999999999999999E-4</v>
      </c>
      <c r="O201" s="415">
        <v>-1.7334000000000001</v>
      </c>
      <c r="P201" s="415">
        <v>-0.35120000000000001</v>
      </c>
      <c r="Q201" s="415">
        <v>-0.18149999999999999</v>
      </c>
      <c r="R201" s="415">
        <v>-5.8900000000000001E-2</v>
      </c>
      <c r="S201" s="415">
        <v>5.0999999999999997E-2</v>
      </c>
      <c r="T201" s="415">
        <v>3.15E-2</v>
      </c>
      <c r="U201" s="415">
        <v>-1.6199999999999999E-2</v>
      </c>
      <c r="V201" s="415">
        <v>-1.5699999999999999E-2</v>
      </c>
      <c r="W201" s="415">
        <v>-1.47E-2</v>
      </c>
      <c r="X201" s="416">
        <v>-1.4135</v>
      </c>
      <c r="Y201" s="418">
        <v>-7.7299999999999994E-2</v>
      </c>
      <c r="Z201" s="418">
        <v>-7.6499999999999999E-2</v>
      </c>
      <c r="AA201" s="418">
        <v>-4.7800000000000002E-2</v>
      </c>
      <c r="AB201" s="419">
        <v>20095.517</v>
      </c>
      <c r="AC201" s="419">
        <v>3555.8137000000002</v>
      </c>
      <c r="AD201" s="419">
        <v>2841.4587999999999</v>
      </c>
      <c r="AE201" s="419">
        <v>547.84709999999995</v>
      </c>
      <c r="AF201" s="420">
        <v>1.9400000000000001E-2</v>
      </c>
      <c r="AG201" s="370"/>
    </row>
    <row r="202" spans="1:33">
      <c r="A202" s="370"/>
      <c r="B202" s="406">
        <f t="shared" si="4"/>
        <v>197</v>
      </c>
      <c r="C202" s="407">
        <v>-5.0700000000000002E-2</v>
      </c>
      <c r="D202" s="407">
        <v>-5.9999999999999995E-4</v>
      </c>
      <c r="E202" s="407">
        <v>0.11890000000000001</v>
      </c>
      <c r="F202" s="407">
        <v>-4.7000000000000002E-3</v>
      </c>
      <c r="G202" s="408">
        <v>1.5E-3</v>
      </c>
      <c r="H202" s="409">
        <v>2.2000000000000001E-3</v>
      </c>
      <c r="I202" s="409">
        <v>-3.0000000000000001E-3</v>
      </c>
      <c r="J202" s="409">
        <v>-2.9999999999999997E-4</v>
      </c>
      <c r="K202" s="410">
        <v>-0.55979999999999996</v>
      </c>
      <c r="L202" s="422">
        <v>-5.7999999999999996E-3</v>
      </c>
      <c r="M202" s="412">
        <v>1.5970000000000002E-2</v>
      </c>
      <c r="N202" s="413">
        <v>1.2999999999999999E-4</v>
      </c>
      <c r="O202" s="415">
        <v>-1.8387</v>
      </c>
      <c r="P202" s="415">
        <v>-0.3725</v>
      </c>
      <c r="Q202" s="415">
        <v>-0.1925</v>
      </c>
      <c r="R202" s="415">
        <v>-6.25E-2</v>
      </c>
      <c r="S202" s="415">
        <v>5.4100000000000002E-2</v>
      </c>
      <c r="T202" s="415">
        <v>3.3399999999999999E-2</v>
      </c>
      <c r="U202" s="415">
        <v>-1.72E-2</v>
      </c>
      <c r="V202" s="415">
        <v>-1.67E-2</v>
      </c>
      <c r="W202" s="415">
        <v>-1.5599999999999999E-2</v>
      </c>
      <c r="X202" s="416">
        <v>-1.4993000000000001</v>
      </c>
      <c r="Y202" s="418">
        <v>-8.2000000000000003E-2</v>
      </c>
      <c r="Z202" s="418">
        <v>-8.1199999999999994E-2</v>
      </c>
      <c r="AA202" s="418">
        <v>-5.0599999999999999E-2</v>
      </c>
      <c r="AB202" s="419">
        <v>19991.8904</v>
      </c>
      <c r="AC202" s="419">
        <v>3537.4774000000002</v>
      </c>
      <c r="AD202" s="419">
        <v>2826.8063000000002</v>
      </c>
      <c r="AE202" s="419">
        <v>545.02200000000005</v>
      </c>
      <c r="AF202" s="420">
        <v>2.18E-2</v>
      </c>
      <c r="AG202" s="370"/>
    </row>
    <row r="203" spans="1:33">
      <c r="A203" s="370"/>
      <c r="B203" s="406">
        <f t="shared" si="4"/>
        <v>198</v>
      </c>
      <c r="C203" s="407">
        <v>-5.3600000000000002E-2</v>
      </c>
      <c r="D203" s="407">
        <v>-5.9999999999999995E-4</v>
      </c>
      <c r="E203" s="407">
        <v>0.12570000000000001</v>
      </c>
      <c r="F203" s="407">
        <v>-5.0000000000000001E-3</v>
      </c>
      <c r="G203" s="408">
        <v>1.6000000000000001E-3</v>
      </c>
      <c r="H203" s="409">
        <v>2.3E-3</v>
      </c>
      <c r="I203" s="409">
        <v>-3.2000000000000002E-3</v>
      </c>
      <c r="J203" s="409">
        <v>-2.9999999999999997E-4</v>
      </c>
      <c r="K203" s="410">
        <v>-0.59160000000000001</v>
      </c>
      <c r="L203" s="422">
        <v>-6.1999999999999998E-3</v>
      </c>
      <c r="M203" s="412">
        <v>1.5879999999999998E-2</v>
      </c>
      <c r="N203" s="413">
        <v>1.2999999999999999E-4</v>
      </c>
      <c r="O203" s="415">
        <v>-1.9433</v>
      </c>
      <c r="P203" s="415">
        <v>-0.39369999999999999</v>
      </c>
      <c r="Q203" s="415">
        <v>-0.2034</v>
      </c>
      <c r="R203" s="415">
        <v>-6.6000000000000003E-2</v>
      </c>
      <c r="S203" s="415">
        <v>5.7200000000000001E-2</v>
      </c>
      <c r="T203" s="415">
        <v>3.5299999999999998E-2</v>
      </c>
      <c r="U203" s="415">
        <v>-1.8200000000000001E-2</v>
      </c>
      <c r="V203" s="415">
        <v>-1.7600000000000001E-2</v>
      </c>
      <c r="W203" s="415">
        <v>-1.6500000000000001E-2</v>
      </c>
      <c r="X203" s="416">
        <v>-1.5847</v>
      </c>
      <c r="Y203" s="418">
        <v>-8.6699999999999999E-2</v>
      </c>
      <c r="Z203" s="418">
        <v>-8.5800000000000001E-2</v>
      </c>
      <c r="AA203" s="418">
        <v>-5.3499999999999999E-2</v>
      </c>
      <c r="AB203" s="419">
        <v>19882.1741</v>
      </c>
      <c r="AC203" s="419">
        <v>3518.0636</v>
      </c>
      <c r="AD203" s="419">
        <v>2811.2926000000002</v>
      </c>
      <c r="AE203" s="419">
        <v>542.03089999999997</v>
      </c>
      <c r="AF203" s="420">
        <v>2.4500000000000001E-2</v>
      </c>
      <c r="AG203" s="370"/>
    </row>
    <row r="204" spans="1:33">
      <c r="A204" s="370"/>
      <c r="B204" s="406">
        <f t="shared" si="4"/>
        <v>199</v>
      </c>
      <c r="C204" s="407">
        <v>-5.6500000000000002E-2</v>
      </c>
      <c r="D204" s="407">
        <v>-6.9999999999999999E-4</v>
      </c>
      <c r="E204" s="407">
        <v>0.13239999999999999</v>
      </c>
      <c r="F204" s="407">
        <v>-5.1999999999999998E-3</v>
      </c>
      <c r="G204" s="408">
        <v>1.6999999999999999E-3</v>
      </c>
      <c r="H204" s="409">
        <v>2.3999999999999998E-3</v>
      </c>
      <c r="I204" s="409">
        <v>-3.3999999999999998E-3</v>
      </c>
      <c r="J204" s="409">
        <v>-2.9999999999999997E-4</v>
      </c>
      <c r="K204" s="410">
        <v>-0.62329999999999997</v>
      </c>
      <c r="L204" s="422">
        <v>-6.4999999999999997E-3</v>
      </c>
      <c r="M204" s="412">
        <v>1.5789999999999998E-2</v>
      </c>
      <c r="N204" s="413">
        <v>1.2999999999999999E-4</v>
      </c>
      <c r="O204" s="415">
        <v>-2.0474000000000001</v>
      </c>
      <c r="P204" s="415">
        <v>-0.4148</v>
      </c>
      <c r="Q204" s="415">
        <v>-0.21429999999999999</v>
      </c>
      <c r="R204" s="415">
        <v>-6.9500000000000006E-2</v>
      </c>
      <c r="S204" s="415">
        <v>6.0299999999999999E-2</v>
      </c>
      <c r="T204" s="415">
        <v>3.7199999999999997E-2</v>
      </c>
      <c r="U204" s="415">
        <v>-1.9099999999999999E-2</v>
      </c>
      <c r="V204" s="415">
        <v>-1.8599999999999998E-2</v>
      </c>
      <c r="W204" s="415">
        <v>-1.7399999999999999E-2</v>
      </c>
      <c r="X204" s="416">
        <v>-1.6696</v>
      </c>
      <c r="Y204" s="418">
        <v>-9.1399999999999995E-2</v>
      </c>
      <c r="Z204" s="418">
        <v>-9.0399999999999994E-2</v>
      </c>
      <c r="AA204" s="418">
        <v>-5.6399999999999999E-2</v>
      </c>
      <c r="AB204" s="419">
        <v>19766.4015</v>
      </c>
      <c r="AC204" s="419">
        <v>3497.5781999999999</v>
      </c>
      <c r="AD204" s="419">
        <v>2794.9227000000001</v>
      </c>
      <c r="AE204" s="419">
        <v>538.87469999999996</v>
      </c>
      <c r="AF204" s="420">
        <v>2.7199999999999998E-2</v>
      </c>
      <c r="AG204" s="370"/>
    </row>
    <row r="205" spans="1:33">
      <c r="A205" s="370"/>
      <c r="B205" s="406">
        <f t="shared" si="4"/>
        <v>200</v>
      </c>
      <c r="C205" s="407">
        <v>-5.9299999999999999E-2</v>
      </c>
      <c r="D205" s="407">
        <v>-6.9999999999999999E-4</v>
      </c>
      <c r="E205" s="407">
        <v>0.1391</v>
      </c>
      <c r="F205" s="407">
        <v>-5.4999999999999997E-3</v>
      </c>
      <c r="G205" s="408">
        <v>1.6999999999999999E-3</v>
      </c>
      <c r="H205" s="409">
        <v>2.5000000000000001E-3</v>
      </c>
      <c r="I205" s="409">
        <v>-3.5999999999999999E-3</v>
      </c>
      <c r="J205" s="409">
        <v>-2.9999999999999997E-4</v>
      </c>
      <c r="K205" s="410">
        <v>-0.65480000000000005</v>
      </c>
      <c r="L205" s="422">
        <v>-6.7999999999999996E-3</v>
      </c>
      <c r="M205" s="412">
        <v>1.5689999999999999E-2</v>
      </c>
      <c r="N205" s="413">
        <v>1.2999999999999999E-4</v>
      </c>
      <c r="O205" s="415">
        <v>-2.1509</v>
      </c>
      <c r="P205" s="415">
        <v>-0.43569999999999998</v>
      </c>
      <c r="Q205" s="415">
        <v>-0.22520000000000001</v>
      </c>
      <c r="R205" s="415">
        <v>-7.3099999999999998E-2</v>
      </c>
      <c r="S205" s="415">
        <v>6.3299999999999995E-2</v>
      </c>
      <c r="T205" s="415">
        <v>3.9100000000000003E-2</v>
      </c>
      <c r="U205" s="415">
        <v>-2.01E-2</v>
      </c>
      <c r="V205" s="415">
        <v>-1.95E-2</v>
      </c>
      <c r="W205" s="415">
        <v>-1.8200000000000001E-2</v>
      </c>
      <c r="X205" s="416">
        <v>-1.7539</v>
      </c>
      <c r="Y205" s="418">
        <v>-9.6000000000000002E-2</v>
      </c>
      <c r="Z205" s="418">
        <v>-9.5000000000000001E-2</v>
      </c>
      <c r="AA205" s="418">
        <v>-5.9299999999999999E-2</v>
      </c>
      <c r="AB205" s="419">
        <v>19644.607800000002</v>
      </c>
      <c r="AC205" s="419">
        <v>3476.0273000000002</v>
      </c>
      <c r="AD205" s="419">
        <v>2777.7013000000002</v>
      </c>
      <c r="AE205" s="419">
        <v>535.55430000000001</v>
      </c>
      <c r="AF205" s="420">
        <v>3.0200000000000001E-2</v>
      </c>
      <c r="AG205" s="370"/>
    </row>
    <row r="206" spans="1:33">
      <c r="A206" s="370"/>
      <c r="B206" s="406">
        <f t="shared" si="4"/>
        <v>201</v>
      </c>
      <c r="C206" s="407">
        <v>-6.2100000000000002E-2</v>
      </c>
      <c r="D206" s="407">
        <v>-8.0000000000000004E-4</v>
      </c>
      <c r="E206" s="407">
        <v>0.14580000000000001</v>
      </c>
      <c r="F206" s="407">
        <v>-5.7999999999999996E-3</v>
      </c>
      <c r="G206" s="408">
        <v>1.8E-3</v>
      </c>
      <c r="H206" s="409">
        <v>2.7000000000000001E-3</v>
      </c>
      <c r="I206" s="409">
        <v>-3.7000000000000002E-3</v>
      </c>
      <c r="J206" s="409">
        <v>-4.0000000000000002E-4</v>
      </c>
      <c r="K206" s="410">
        <v>-0.68610000000000004</v>
      </c>
      <c r="L206" s="422">
        <v>-7.1999999999999998E-3</v>
      </c>
      <c r="M206" s="412">
        <v>1.559E-2</v>
      </c>
      <c r="N206" s="413">
        <v>1.2999999999999999E-4</v>
      </c>
      <c r="O206" s="415">
        <v>-2.2536999999999998</v>
      </c>
      <c r="P206" s="415">
        <v>-0.45660000000000001</v>
      </c>
      <c r="Q206" s="415">
        <v>-0.2359</v>
      </c>
      <c r="R206" s="415">
        <v>-7.6600000000000001E-2</v>
      </c>
      <c r="S206" s="415">
        <v>6.6299999999999998E-2</v>
      </c>
      <c r="T206" s="415">
        <v>4.1000000000000002E-2</v>
      </c>
      <c r="U206" s="415">
        <v>-2.1100000000000001E-2</v>
      </c>
      <c r="V206" s="415">
        <v>-2.0500000000000001E-2</v>
      </c>
      <c r="W206" s="415">
        <v>-1.9099999999999999E-2</v>
      </c>
      <c r="X206" s="416">
        <v>-1.8378000000000001</v>
      </c>
      <c r="Y206" s="418">
        <v>-0.10059999999999999</v>
      </c>
      <c r="Z206" s="418">
        <v>-9.9500000000000005E-2</v>
      </c>
      <c r="AA206" s="418">
        <v>-6.2100000000000002E-2</v>
      </c>
      <c r="AB206" s="419">
        <v>19516.8302</v>
      </c>
      <c r="AC206" s="419">
        <v>3453.4176000000002</v>
      </c>
      <c r="AD206" s="419">
        <v>2759.6338999999998</v>
      </c>
      <c r="AE206" s="419">
        <v>532.07079999999996</v>
      </c>
      <c r="AF206" s="420">
        <v>3.32E-2</v>
      </c>
      <c r="AG206" s="370"/>
    </row>
    <row r="207" spans="1:33">
      <c r="A207" s="370"/>
      <c r="B207" s="406">
        <f t="shared" si="4"/>
        <v>202</v>
      </c>
      <c r="C207" s="407">
        <v>-6.5000000000000002E-2</v>
      </c>
      <c r="D207" s="407">
        <v>-8.0000000000000004E-4</v>
      </c>
      <c r="E207" s="407">
        <v>0.15240000000000001</v>
      </c>
      <c r="F207" s="407">
        <v>-6.0000000000000001E-3</v>
      </c>
      <c r="G207" s="408">
        <v>1.9E-3</v>
      </c>
      <c r="H207" s="409">
        <v>2.8E-3</v>
      </c>
      <c r="I207" s="409">
        <v>-3.8999999999999998E-3</v>
      </c>
      <c r="J207" s="409">
        <v>-4.0000000000000002E-4</v>
      </c>
      <c r="K207" s="410">
        <v>-0.71719999999999995</v>
      </c>
      <c r="L207" s="422">
        <v>-7.4999999999999997E-3</v>
      </c>
      <c r="M207" s="412">
        <v>1.5480000000000001E-2</v>
      </c>
      <c r="N207" s="413">
        <v>1.2999999999999999E-4</v>
      </c>
      <c r="O207" s="415">
        <v>-2.3557999999999999</v>
      </c>
      <c r="P207" s="415">
        <v>-0.4773</v>
      </c>
      <c r="Q207" s="415">
        <v>-0.24660000000000001</v>
      </c>
      <c r="R207" s="415">
        <v>-0.08</v>
      </c>
      <c r="S207" s="415">
        <v>6.93E-2</v>
      </c>
      <c r="T207" s="415">
        <v>4.2799999999999998E-2</v>
      </c>
      <c r="U207" s="415">
        <v>-2.1999999999999999E-2</v>
      </c>
      <c r="V207" s="415">
        <v>-2.1399999999999999E-2</v>
      </c>
      <c r="W207" s="415">
        <v>-0.02</v>
      </c>
      <c r="X207" s="416">
        <v>-1.9211</v>
      </c>
      <c r="Y207" s="418">
        <v>-0.1051</v>
      </c>
      <c r="Z207" s="418">
        <v>-0.104</v>
      </c>
      <c r="AA207" s="418">
        <v>-6.4899999999999999E-2</v>
      </c>
      <c r="AB207" s="419">
        <v>19383.107599999999</v>
      </c>
      <c r="AC207" s="419">
        <v>3429.7559999999999</v>
      </c>
      <c r="AD207" s="419">
        <v>2740.7258000000002</v>
      </c>
      <c r="AE207" s="419">
        <v>528.42529999999999</v>
      </c>
      <c r="AF207" s="420">
        <v>3.6400000000000002E-2</v>
      </c>
      <c r="AG207" s="370"/>
    </row>
    <row r="208" spans="1:33">
      <c r="A208" s="370"/>
      <c r="B208" s="406">
        <f t="shared" si="4"/>
        <v>203</v>
      </c>
      <c r="C208" s="407">
        <v>-6.7799999999999999E-2</v>
      </c>
      <c r="D208" s="407">
        <v>-8.0000000000000004E-4</v>
      </c>
      <c r="E208" s="407">
        <v>0.15890000000000001</v>
      </c>
      <c r="F208" s="407">
        <v>-6.3E-3</v>
      </c>
      <c r="G208" s="408">
        <v>2E-3</v>
      </c>
      <c r="H208" s="409">
        <v>2.8999999999999998E-3</v>
      </c>
      <c r="I208" s="409">
        <v>-4.1000000000000003E-3</v>
      </c>
      <c r="J208" s="409">
        <v>-4.0000000000000002E-4</v>
      </c>
      <c r="K208" s="410">
        <v>-0.74809999999999999</v>
      </c>
      <c r="L208" s="422">
        <v>-7.7999999999999996E-3</v>
      </c>
      <c r="M208" s="412">
        <v>1.537E-2</v>
      </c>
      <c r="N208" s="413">
        <v>1.2999999999999999E-4</v>
      </c>
      <c r="O208" s="415">
        <v>-2.4571999999999998</v>
      </c>
      <c r="P208" s="415">
        <v>-0.49780000000000002</v>
      </c>
      <c r="Q208" s="415">
        <v>-0.25719999999999998</v>
      </c>
      <c r="R208" s="415">
        <v>-8.3500000000000005E-2</v>
      </c>
      <c r="S208" s="415">
        <v>7.2300000000000003E-2</v>
      </c>
      <c r="T208" s="415">
        <v>4.4699999999999997E-2</v>
      </c>
      <c r="U208" s="415">
        <v>-2.3E-2</v>
      </c>
      <c r="V208" s="415">
        <v>-2.23E-2</v>
      </c>
      <c r="W208" s="415">
        <v>-2.0799999999999999E-2</v>
      </c>
      <c r="X208" s="416">
        <v>-2.0036999999999998</v>
      </c>
      <c r="Y208" s="418">
        <v>-0.1096</v>
      </c>
      <c r="Z208" s="418">
        <v>-0.1085</v>
      </c>
      <c r="AA208" s="418">
        <v>-6.7699999999999996E-2</v>
      </c>
      <c r="AB208" s="419">
        <v>19243.4807</v>
      </c>
      <c r="AC208" s="419">
        <v>3405.0495999999998</v>
      </c>
      <c r="AD208" s="419">
        <v>2720.9829</v>
      </c>
      <c r="AE208" s="419">
        <v>524.61869999999999</v>
      </c>
      <c r="AF208" s="420">
        <v>3.9699999999999999E-2</v>
      </c>
      <c r="AG208" s="370"/>
    </row>
    <row r="209" spans="1:33">
      <c r="A209" s="370"/>
      <c r="B209" s="406">
        <f t="shared" si="4"/>
        <v>204</v>
      </c>
      <c r="C209" s="407">
        <v>-7.0499999999999993E-2</v>
      </c>
      <c r="D209" s="407">
        <v>-8.9999999999999998E-4</v>
      </c>
      <c r="E209" s="407">
        <v>0.16550000000000001</v>
      </c>
      <c r="F209" s="407">
        <v>-6.4999999999999997E-3</v>
      </c>
      <c r="G209" s="408">
        <v>2.0999999999999999E-3</v>
      </c>
      <c r="H209" s="409">
        <v>3.0000000000000001E-3</v>
      </c>
      <c r="I209" s="409">
        <v>-4.1999999999999997E-3</v>
      </c>
      <c r="J209" s="409">
        <v>-4.0000000000000002E-4</v>
      </c>
      <c r="K209" s="410">
        <v>-0.77869999999999995</v>
      </c>
      <c r="L209" s="422">
        <v>-8.0999999999999996E-3</v>
      </c>
      <c r="M209" s="412">
        <v>1.5259999999999999E-2</v>
      </c>
      <c r="N209" s="413">
        <v>1.2999999999999999E-4</v>
      </c>
      <c r="O209" s="415">
        <v>-2.5579000000000001</v>
      </c>
      <c r="P209" s="415">
        <v>-0.51819999999999999</v>
      </c>
      <c r="Q209" s="415">
        <v>-0.26779999999999998</v>
      </c>
      <c r="R209" s="415">
        <v>-8.6900000000000005E-2</v>
      </c>
      <c r="S209" s="415">
        <v>7.5300000000000006E-2</v>
      </c>
      <c r="T209" s="415">
        <v>4.65E-2</v>
      </c>
      <c r="U209" s="415">
        <v>-2.3900000000000001E-2</v>
      </c>
      <c r="V209" s="415">
        <v>-2.3199999999999998E-2</v>
      </c>
      <c r="W209" s="415">
        <v>-2.1700000000000001E-2</v>
      </c>
      <c r="X209" s="416">
        <v>-2.0857999999999999</v>
      </c>
      <c r="Y209" s="418">
        <v>-0.11409999999999999</v>
      </c>
      <c r="Z209" s="418">
        <v>-0.1129</v>
      </c>
      <c r="AA209" s="418">
        <v>-7.0499999999999993E-2</v>
      </c>
      <c r="AB209" s="419">
        <v>19097.992099999999</v>
      </c>
      <c r="AC209" s="419">
        <v>3379.3060999999998</v>
      </c>
      <c r="AD209" s="419">
        <v>2700.4110999999998</v>
      </c>
      <c r="AE209" s="419">
        <v>520.65239999999994</v>
      </c>
      <c r="AF209" s="420">
        <v>4.3200000000000002E-2</v>
      </c>
      <c r="AG209" s="370"/>
    </row>
    <row r="210" spans="1:33">
      <c r="A210" s="370"/>
      <c r="B210" s="406">
        <f t="shared" si="4"/>
        <v>205</v>
      </c>
      <c r="C210" s="407">
        <v>-7.3300000000000004E-2</v>
      </c>
      <c r="D210" s="407">
        <v>-8.9999999999999998E-4</v>
      </c>
      <c r="E210" s="407">
        <v>0.1719</v>
      </c>
      <c r="F210" s="407">
        <v>-6.7999999999999996E-3</v>
      </c>
      <c r="G210" s="408">
        <v>2.2000000000000001E-3</v>
      </c>
      <c r="H210" s="409">
        <v>3.0999999999999999E-3</v>
      </c>
      <c r="I210" s="409">
        <v>-4.4000000000000003E-3</v>
      </c>
      <c r="J210" s="409">
        <v>-4.0000000000000002E-4</v>
      </c>
      <c r="K210" s="410">
        <v>-0.80910000000000004</v>
      </c>
      <c r="L210" s="422">
        <v>-8.3999999999999995E-3</v>
      </c>
      <c r="M210" s="412">
        <v>1.5140000000000001E-2</v>
      </c>
      <c r="N210" s="413">
        <v>1.2999999999999999E-4</v>
      </c>
      <c r="O210" s="415">
        <v>-2.6577999999999999</v>
      </c>
      <c r="P210" s="415">
        <v>-0.53839999999999999</v>
      </c>
      <c r="Q210" s="415">
        <v>-0.2782</v>
      </c>
      <c r="R210" s="415">
        <v>-9.0300000000000005E-2</v>
      </c>
      <c r="S210" s="415">
        <v>7.8200000000000006E-2</v>
      </c>
      <c r="T210" s="415">
        <v>4.8300000000000003E-2</v>
      </c>
      <c r="U210" s="415">
        <v>-2.4799999999999999E-2</v>
      </c>
      <c r="V210" s="415">
        <v>-2.41E-2</v>
      </c>
      <c r="W210" s="415">
        <v>-2.2499999999999999E-2</v>
      </c>
      <c r="X210" s="416">
        <v>-2.1673</v>
      </c>
      <c r="Y210" s="418">
        <v>-0.1186</v>
      </c>
      <c r="Z210" s="418">
        <v>-0.1174</v>
      </c>
      <c r="AA210" s="418">
        <v>-7.3200000000000001E-2</v>
      </c>
      <c r="AB210" s="419">
        <v>18946.686000000002</v>
      </c>
      <c r="AC210" s="419">
        <v>3352.5331000000001</v>
      </c>
      <c r="AD210" s="419">
        <v>2679.0167999999999</v>
      </c>
      <c r="AE210" s="419">
        <v>516.52750000000003</v>
      </c>
      <c r="AF210" s="420">
        <v>4.6800000000000001E-2</v>
      </c>
      <c r="AG210" s="370"/>
    </row>
    <row r="211" spans="1:33">
      <c r="A211" s="370"/>
      <c r="B211" s="406">
        <f t="shared" si="4"/>
        <v>206</v>
      </c>
      <c r="C211" s="407">
        <v>-7.5999999999999998E-2</v>
      </c>
      <c r="D211" s="407">
        <v>-8.9999999999999998E-4</v>
      </c>
      <c r="E211" s="407">
        <v>0.17829999999999999</v>
      </c>
      <c r="F211" s="407">
        <v>-7.1000000000000004E-3</v>
      </c>
      <c r="G211" s="408">
        <v>2.2000000000000001E-3</v>
      </c>
      <c r="H211" s="409">
        <v>3.2000000000000002E-3</v>
      </c>
      <c r="I211" s="409">
        <v>-4.5999999999999999E-3</v>
      </c>
      <c r="J211" s="409">
        <v>-4.0000000000000002E-4</v>
      </c>
      <c r="K211" s="410">
        <v>-0.83930000000000005</v>
      </c>
      <c r="L211" s="422">
        <v>-8.8000000000000005E-3</v>
      </c>
      <c r="M211" s="412">
        <v>1.5010000000000001E-2</v>
      </c>
      <c r="N211" s="413">
        <v>1.2999999999999999E-4</v>
      </c>
      <c r="O211" s="415">
        <v>-2.7568000000000001</v>
      </c>
      <c r="P211" s="415">
        <v>-0.5585</v>
      </c>
      <c r="Q211" s="415">
        <v>-0.28860000000000002</v>
      </c>
      <c r="R211" s="415">
        <v>-9.3600000000000003E-2</v>
      </c>
      <c r="S211" s="415">
        <v>8.1100000000000005E-2</v>
      </c>
      <c r="T211" s="415">
        <v>5.0099999999999999E-2</v>
      </c>
      <c r="U211" s="415">
        <v>-2.58E-2</v>
      </c>
      <c r="V211" s="415">
        <v>-2.5000000000000001E-2</v>
      </c>
      <c r="W211" s="415">
        <v>-2.3400000000000001E-2</v>
      </c>
      <c r="X211" s="416">
        <v>-2.2481</v>
      </c>
      <c r="Y211" s="418">
        <v>-0.123</v>
      </c>
      <c r="Z211" s="418">
        <v>-0.1217</v>
      </c>
      <c r="AA211" s="418">
        <v>-7.5899999999999995E-2</v>
      </c>
      <c r="AB211" s="419">
        <v>18789.6086</v>
      </c>
      <c r="AC211" s="419">
        <v>3324.7388999999998</v>
      </c>
      <c r="AD211" s="419">
        <v>2656.8063999999999</v>
      </c>
      <c r="AE211" s="419">
        <v>512.24519999999995</v>
      </c>
      <c r="AF211" s="420">
        <v>5.0599999999999999E-2</v>
      </c>
      <c r="AG211" s="370"/>
    </row>
    <row r="212" spans="1:33">
      <c r="A212" s="370"/>
      <c r="B212" s="406">
        <f t="shared" si="4"/>
        <v>207</v>
      </c>
      <c r="C212" s="407">
        <v>-7.8700000000000006E-2</v>
      </c>
      <c r="D212" s="407">
        <v>-1E-3</v>
      </c>
      <c r="E212" s="407">
        <v>0.1847</v>
      </c>
      <c r="F212" s="407">
        <v>-7.3000000000000001E-3</v>
      </c>
      <c r="G212" s="408">
        <v>2.3E-3</v>
      </c>
      <c r="H212" s="409">
        <v>3.3999999999999998E-3</v>
      </c>
      <c r="I212" s="409">
        <v>-4.7000000000000002E-3</v>
      </c>
      <c r="J212" s="409">
        <v>-5.0000000000000001E-4</v>
      </c>
      <c r="K212" s="410">
        <v>-0.86919999999999997</v>
      </c>
      <c r="L212" s="422">
        <v>-9.1000000000000004E-3</v>
      </c>
      <c r="M212" s="412">
        <v>1.4880000000000001E-2</v>
      </c>
      <c r="N212" s="413">
        <v>1.2E-4</v>
      </c>
      <c r="O212" s="415">
        <v>-2.855</v>
      </c>
      <c r="P212" s="415">
        <v>-0.57840000000000003</v>
      </c>
      <c r="Q212" s="415">
        <v>-0.2989</v>
      </c>
      <c r="R212" s="415">
        <v>-9.7000000000000003E-2</v>
      </c>
      <c r="S212" s="415">
        <v>8.4000000000000005E-2</v>
      </c>
      <c r="T212" s="415">
        <v>5.1900000000000002E-2</v>
      </c>
      <c r="U212" s="415">
        <v>-2.6700000000000002E-2</v>
      </c>
      <c r="V212" s="415">
        <v>-2.5899999999999999E-2</v>
      </c>
      <c r="W212" s="415">
        <v>-2.4199999999999999E-2</v>
      </c>
      <c r="X212" s="416">
        <v>-2.3281000000000001</v>
      </c>
      <c r="Y212" s="418">
        <v>-0.12740000000000001</v>
      </c>
      <c r="Z212" s="418">
        <v>-0.12609999999999999</v>
      </c>
      <c r="AA212" s="418">
        <v>-7.8600000000000003E-2</v>
      </c>
      <c r="AB212" s="419">
        <v>18626.807700000001</v>
      </c>
      <c r="AC212" s="419">
        <v>3295.9319999999998</v>
      </c>
      <c r="AD212" s="419">
        <v>2633.7867999999999</v>
      </c>
      <c r="AE212" s="419">
        <v>507.80689999999998</v>
      </c>
      <c r="AF212" s="420">
        <v>5.45E-2</v>
      </c>
      <c r="AG212" s="370"/>
    </row>
    <row r="213" spans="1:33">
      <c r="A213" s="370"/>
      <c r="B213" s="406">
        <f t="shared" si="4"/>
        <v>208</v>
      </c>
      <c r="C213" s="407">
        <v>-8.14E-2</v>
      </c>
      <c r="D213" s="407">
        <v>-1E-3</v>
      </c>
      <c r="E213" s="407">
        <v>0.191</v>
      </c>
      <c r="F213" s="407">
        <v>-7.6E-3</v>
      </c>
      <c r="G213" s="408">
        <v>2.3999999999999998E-3</v>
      </c>
      <c r="H213" s="409">
        <v>3.5000000000000001E-3</v>
      </c>
      <c r="I213" s="409">
        <v>-4.8999999999999998E-3</v>
      </c>
      <c r="J213" s="409">
        <v>-5.0000000000000001E-4</v>
      </c>
      <c r="K213" s="410">
        <v>-0.89890000000000003</v>
      </c>
      <c r="L213" s="422">
        <v>-9.4000000000000004E-3</v>
      </c>
      <c r="M213" s="412">
        <v>1.4749999999999999E-2</v>
      </c>
      <c r="N213" s="413">
        <v>1.2E-4</v>
      </c>
      <c r="O213" s="415">
        <v>-2.9523999999999999</v>
      </c>
      <c r="P213" s="415">
        <v>-0.59809999999999997</v>
      </c>
      <c r="Q213" s="415">
        <v>-0.30909999999999999</v>
      </c>
      <c r="R213" s="415">
        <v>-0.1003</v>
      </c>
      <c r="S213" s="415">
        <v>8.6900000000000005E-2</v>
      </c>
      <c r="T213" s="415">
        <v>5.3699999999999998E-2</v>
      </c>
      <c r="U213" s="415">
        <v>-2.76E-2</v>
      </c>
      <c r="V213" s="415">
        <v>-2.6800000000000001E-2</v>
      </c>
      <c r="W213" s="415">
        <v>-2.5000000000000001E-2</v>
      </c>
      <c r="X213" s="416">
        <v>-2.4075000000000002</v>
      </c>
      <c r="Y213" s="418">
        <v>-0.13170000000000001</v>
      </c>
      <c r="Z213" s="418">
        <v>-0.13039999999999999</v>
      </c>
      <c r="AA213" s="418">
        <v>-8.1299999999999997E-2</v>
      </c>
      <c r="AB213" s="419">
        <v>18458.332900000001</v>
      </c>
      <c r="AC213" s="419">
        <v>3266.1212</v>
      </c>
      <c r="AD213" s="419">
        <v>2609.9648000000002</v>
      </c>
      <c r="AE213" s="419">
        <v>503.21390000000002</v>
      </c>
      <c r="AF213" s="420">
        <v>5.8500000000000003E-2</v>
      </c>
      <c r="AG213" s="370"/>
    </row>
    <row r="214" spans="1:33">
      <c r="A214" s="370"/>
      <c r="B214" s="406">
        <f t="shared" si="4"/>
        <v>209</v>
      </c>
      <c r="C214" s="407">
        <v>-8.4099999999999994E-2</v>
      </c>
      <c r="D214" s="407">
        <v>-1E-3</v>
      </c>
      <c r="E214" s="407">
        <v>0.19719999999999999</v>
      </c>
      <c r="F214" s="407">
        <v>-7.7999999999999996E-3</v>
      </c>
      <c r="G214" s="408">
        <v>2.5000000000000001E-3</v>
      </c>
      <c r="H214" s="409">
        <v>3.5999999999999999E-3</v>
      </c>
      <c r="I214" s="409">
        <v>-5.0000000000000001E-3</v>
      </c>
      <c r="J214" s="409">
        <v>-5.0000000000000001E-4</v>
      </c>
      <c r="K214" s="410">
        <v>-0.92820000000000003</v>
      </c>
      <c r="L214" s="422">
        <v>-9.7000000000000003E-3</v>
      </c>
      <c r="M214" s="412">
        <v>1.461E-2</v>
      </c>
      <c r="N214" s="413">
        <v>1.2E-4</v>
      </c>
      <c r="O214" s="415">
        <v>-3.0489000000000002</v>
      </c>
      <c r="P214" s="415">
        <v>-0.61770000000000003</v>
      </c>
      <c r="Q214" s="415">
        <v>-0.31919999999999998</v>
      </c>
      <c r="R214" s="415">
        <v>-0.1036</v>
      </c>
      <c r="S214" s="415">
        <v>8.9700000000000002E-2</v>
      </c>
      <c r="T214" s="415">
        <v>5.5399999999999998E-2</v>
      </c>
      <c r="U214" s="415">
        <v>-2.8500000000000001E-2</v>
      </c>
      <c r="V214" s="415">
        <v>-2.7699999999999999E-2</v>
      </c>
      <c r="W214" s="415">
        <v>-2.5899999999999999E-2</v>
      </c>
      <c r="X214" s="416">
        <v>-2.4862000000000002</v>
      </c>
      <c r="Y214" s="418">
        <v>-0.13600000000000001</v>
      </c>
      <c r="Z214" s="418">
        <v>-0.1346</v>
      </c>
      <c r="AA214" s="418">
        <v>-8.4000000000000005E-2</v>
      </c>
      <c r="AB214" s="419">
        <v>18284.235499999999</v>
      </c>
      <c r="AC214" s="419">
        <v>3235.3154</v>
      </c>
      <c r="AD214" s="419">
        <v>2585.3479000000002</v>
      </c>
      <c r="AE214" s="419">
        <v>498.4676</v>
      </c>
      <c r="AF214" s="420">
        <v>6.2700000000000006E-2</v>
      </c>
      <c r="AG214" s="370"/>
    </row>
    <row r="215" spans="1:33">
      <c r="A215" s="370"/>
      <c r="B215" s="406">
        <f t="shared" si="4"/>
        <v>210</v>
      </c>
      <c r="C215" s="407">
        <v>-8.6699999999999999E-2</v>
      </c>
      <c r="D215" s="407">
        <v>-1.1000000000000001E-3</v>
      </c>
      <c r="E215" s="407">
        <v>0.2034</v>
      </c>
      <c r="F215" s="407">
        <v>-8.0999999999999996E-3</v>
      </c>
      <c r="G215" s="408">
        <v>2.5999999999999999E-3</v>
      </c>
      <c r="H215" s="409">
        <v>3.7000000000000002E-3</v>
      </c>
      <c r="I215" s="409">
        <v>-5.1999999999999998E-3</v>
      </c>
      <c r="J215" s="409">
        <v>-5.0000000000000001E-4</v>
      </c>
      <c r="K215" s="410">
        <v>-0.95730000000000004</v>
      </c>
      <c r="L215" s="422">
        <v>-0.01</v>
      </c>
      <c r="M215" s="412">
        <v>1.4460000000000001E-2</v>
      </c>
      <c r="N215" s="413">
        <v>1.2E-4</v>
      </c>
      <c r="O215" s="415">
        <v>-3.1444000000000001</v>
      </c>
      <c r="P215" s="415">
        <v>-0.63700000000000001</v>
      </c>
      <c r="Q215" s="415">
        <v>-0.32919999999999999</v>
      </c>
      <c r="R215" s="415">
        <v>-0.10680000000000001</v>
      </c>
      <c r="S215" s="415">
        <v>9.2600000000000002E-2</v>
      </c>
      <c r="T215" s="415">
        <v>5.7200000000000001E-2</v>
      </c>
      <c r="U215" s="415">
        <v>-2.9399999999999999E-2</v>
      </c>
      <c r="V215" s="415">
        <v>-2.8500000000000001E-2</v>
      </c>
      <c r="W215" s="415">
        <v>-2.6700000000000002E-2</v>
      </c>
      <c r="X215" s="416">
        <v>-2.5640999999999998</v>
      </c>
      <c r="Y215" s="418">
        <v>-0.14030000000000001</v>
      </c>
      <c r="Z215" s="418">
        <v>-0.13880000000000001</v>
      </c>
      <c r="AA215" s="418">
        <v>-8.6599999999999996E-2</v>
      </c>
      <c r="AB215" s="419">
        <v>18104.568500000001</v>
      </c>
      <c r="AC215" s="419">
        <v>3203.5241000000001</v>
      </c>
      <c r="AD215" s="419">
        <v>2559.9434000000001</v>
      </c>
      <c r="AE215" s="419">
        <v>493.56950000000001</v>
      </c>
      <c r="AF215" s="420">
        <v>6.7000000000000004E-2</v>
      </c>
      <c r="AG215" s="370"/>
    </row>
    <row r="216" spans="1:33">
      <c r="A216" s="370"/>
      <c r="B216" s="406">
        <f t="shared" si="4"/>
        <v>211</v>
      </c>
      <c r="C216" s="407">
        <v>-8.9300000000000004E-2</v>
      </c>
      <c r="D216" s="407">
        <v>-1.1000000000000001E-3</v>
      </c>
      <c r="E216" s="407">
        <v>0.20949999999999999</v>
      </c>
      <c r="F216" s="407">
        <v>-8.3000000000000001E-3</v>
      </c>
      <c r="G216" s="407">
        <v>2.5999999999999999E-3</v>
      </c>
      <c r="H216" s="409">
        <v>3.8E-3</v>
      </c>
      <c r="I216" s="409">
        <v>-5.4000000000000003E-3</v>
      </c>
      <c r="J216" s="407">
        <v>-5.0000000000000001E-4</v>
      </c>
      <c r="K216" s="410">
        <v>-0.98609999999999998</v>
      </c>
      <c r="L216" s="411">
        <v>-1.03E-2</v>
      </c>
      <c r="M216" s="412">
        <v>1.431E-2</v>
      </c>
      <c r="N216" s="413">
        <v>1.2E-4</v>
      </c>
      <c r="O216" s="415">
        <v>-3.2389999999999999</v>
      </c>
      <c r="P216" s="415">
        <v>-0.65620000000000001</v>
      </c>
      <c r="Q216" s="424">
        <v>-0.33910000000000001</v>
      </c>
      <c r="R216" s="415">
        <v>-0.11</v>
      </c>
      <c r="S216" s="415">
        <v>9.5299999999999996E-2</v>
      </c>
      <c r="T216" s="415">
        <v>5.8900000000000001E-2</v>
      </c>
      <c r="U216" s="415">
        <v>-3.0300000000000001E-2</v>
      </c>
      <c r="V216" s="415">
        <v>-2.9399999999999999E-2</v>
      </c>
      <c r="W216" s="415">
        <v>-2.75E-2</v>
      </c>
      <c r="X216" s="416">
        <v>-2.6412</v>
      </c>
      <c r="Y216" s="418">
        <v>-0.14449999999999999</v>
      </c>
      <c r="Z216" s="418">
        <v>-0.14299999999999999</v>
      </c>
      <c r="AA216" s="418">
        <v>-8.9200000000000002E-2</v>
      </c>
      <c r="AB216" s="419">
        <v>17919.386699999999</v>
      </c>
      <c r="AC216" s="419">
        <v>3170.7570000000001</v>
      </c>
      <c r="AD216" s="419">
        <v>2533.7591000000002</v>
      </c>
      <c r="AE216" s="419">
        <v>488.52109999999999</v>
      </c>
      <c r="AF216" s="420">
        <v>7.1400000000000005E-2</v>
      </c>
      <c r="AG216" s="370"/>
    </row>
    <row r="217" spans="1:33">
      <c r="A217" s="370"/>
      <c r="B217" s="406">
        <f t="shared" si="4"/>
        <v>212</v>
      </c>
      <c r="C217" s="407">
        <v>-9.1899999999999996E-2</v>
      </c>
      <c r="D217" s="407">
        <v>-1.1000000000000001E-3</v>
      </c>
      <c r="E217" s="407">
        <v>0.21560000000000001</v>
      </c>
      <c r="F217" s="407">
        <v>-8.5000000000000006E-3</v>
      </c>
      <c r="G217" s="407">
        <v>2.7000000000000001E-3</v>
      </c>
      <c r="H217" s="409">
        <v>3.8999999999999998E-3</v>
      </c>
      <c r="I217" s="409">
        <v>-5.4999999999999997E-3</v>
      </c>
      <c r="J217" s="407">
        <v>-5.0000000000000001E-4</v>
      </c>
      <c r="K217" s="410">
        <v>-1.0145999999999999</v>
      </c>
      <c r="L217" s="411">
        <v>-1.06E-2</v>
      </c>
      <c r="M217" s="412">
        <v>1.4160000000000001E-2</v>
      </c>
      <c r="N217" s="413">
        <v>1.2E-4</v>
      </c>
      <c r="O217" s="415">
        <v>-3.3325</v>
      </c>
      <c r="P217" s="415">
        <v>-0.67510000000000003</v>
      </c>
      <c r="Q217" s="415">
        <v>-0.34889999999999999</v>
      </c>
      <c r="R217" s="415">
        <v>-0.1132</v>
      </c>
      <c r="S217" s="415">
        <v>9.8100000000000007E-2</v>
      </c>
      <c r="T217" s="415">
        <v>6.0600000000000001E-2</v>
      </c>
      <c r="U217" s="415">
        <v>-3.1199999999999999E-2</v>
      </c>
      <c r="V217" s="415">
        <v>-3.0200000000000001E-2</v>
      </c>
      <c r="W217" s="415">
        <v>-2.8299999999999999E-2</v>
      </c>
      <c r="X217" s="416">
        <v>-2.7174999999999998</v>
      </c>
      <c r="Y217" s="418">
        <v>-0.1487</v>
      </c>
      <c r="Z217" s="418">
        <v>-0.1472</v>
      </c>
      <c r="AA217" s="418">
        <v>-9.1800000000000007E-2</v>
      </c>
      <c r="AB217" s="419">
        <v>17728.746500000001</v>
      </c>
      <c r="AC217" s="419">
        <v>3137.0239999999999</v>
      </c>
      <c r="AD217" s="419">
        <v>2506.8029999999999</v>
      </c>
      <c r="AE217" s="419">
        <v>483.32380000000001</v>
      </c>
      <c r="AF217" s="420">
        <v>7.5999999999999998E-2</v>
      </c>
      <c r="AG217" s="370"/>
    </row>
    <row r="218" spans="1:33">
      <c r="A218" s="370"/>
      <c r="B218" s="406">
        <f t="shared" si="4"/>
        <v>213</v>
      </c>
      <c r="C218" s="407">
        <v>-9.4399999999999998E-2</v>
      </c>
      <c r="D218" s="407">
        <v>-1.1000000000000001E-3</v>
      </c>
      <c r="E218" s="407">
        <v>0.22159999999999999</v>
      </c>
      <c r="F218" s="407">
        <v>-8.8000000000000005E-3</v>
      </c>
      <c r="G218" s="407">
        <v>2.8E-3</v>
      </c>
      <c r="H218" s="409">
        <v>4.0000000000000001E-3</v>
      </c>
      <c r="I218" s="409">
        <v>-5.7000000000000002E-3</v>
      </c>
      <c r="J218" s="407">
        <v>-5.0000000000000001E-4</v>
      </c>
      <c r="K218" s="410">
        <v>-1.0427999999999999</v>
      </c>
      <c r="L218" s="422">
        <v>-1.09E-2</v>
      </c>
      <c r="M218" s="412">
        <v>1.401E-2</v>
      </c>
      <c r="N218" s="413">
        <v>1.2E-4</v>
      </c>
      <c r="O218" s="415">
        <v>-3.4251</v>
      </c>
      <c r="P218" s="415">
        <v>-0.69389999999999996</v>
      </c>
      <c r="Q218" s="415">
        <v>-0.35849999999999999</v>
      </c>
      <c r="R218" s="415">
        <v>-0.1163</v>
      </c>
      <c r="S218" s="415">
        <v>0.1008</v>
      </c>
      <c r="T218" s="415">
        <v>6.2300000000000001E-2</v>
      </c>
      <c r="U218" s="415">
        <v>-3.2000000000000001E-2</v>
      </c>
      <c r="V218" s="415">
        <v>-3.1099999999999999E-2</v>
      </c>
      <c r="W218" s="415">
        <v>-2.9000000000000001E-2</v>
      </c>
      <c r="X218" s="416">
        <v>-2.7930000000000001</v>
      </c>
      <c r="Y218" s="418">
        <v>-0.15279999999999999</v>
      </c>
      <c r="Z218" s="418">
        <v>-0.1512</v>
      </c>
      <c r="AA218" s="418">
        <v>-9.4399999999999998E-2</v>
      </c>
      <c r="AB218" s="419">
        <v>17532.705999999998</v>
      </c>
      <c r="AC218" s="419">
        <v>3102.3355000000001</v>
      </c>
      <c r="AD218" s="419">
        <v>2479.0834</v>
      </c>
      <c r="AE218" s="419">
        <v>477.97930000000002</v>
      </c>
      <c r="AF218" s="420">
        <v>8.0699999999999994E-2</v>
      </c>
      <c r="AG218" s="370"/>
    </row>
    <row r="219" spans="1:33">
      <c r="A219" s="370"/>
      <c r="B219" s="406">
        <f t="shared" si="4"/>
        <v>214</v>
      </c>
      <c r="C219" s="407">
        <v>-9.7000000000000003E-2</v>
      </c>
      <c r="D219" s="407">
        <v>-1.1999999999999999E-3</v>
      </c>
      <c r="E219" s="407">
        <v>0.22750000000000001</v>
      </c>
      <c r="F219" s="407">
        <v>-8.9999999999999993E-3</v>
      </c>
      <c r="G219" s="407">
        <v>2.8999999999999998E-3</v>
      </c>
      <c r="H219" s="409">
        <v>4.1000000000000003E-3</v>
      </c>
      <c r="I219" s="409">
        <v>-5.7999999999999996E-3</v>
      </c>
      <c r="J219" s="407">
        <v>-5.9999999999999995E-4</v>
      </c>
      <c r="K219" s="410">
        <v>-1.0706</v>
      </c>
      <c r="L219" s="422">
        <v>-1.12E-2</v>
      </c>
      <c r="M219" s="412">
        <v>1.384E-2</v>
      </c>
      <c r="N219" s="413">
        <v>1.2E-4</v>
      </c>
      <c r="O219" s="415">
        <v>-3.5165999999999999</v>
      </c>
      <c r="P219" s="415">
        <v>-0.71240000000000003</v>
      </c>
      <c r="Q219" s="415">
        <v>-0.36809999999999998</v>
      </c>
      <c r="R219" s="415">
        <v>-0.1195</v>
      </c>
      <c r="S219" s="415">
        <v>0.10349999999999999</v>
      </c>
      <c r="T219" s="415">
        <v>6.3899999999999998E-2</v>
      </c>
      <c r="U219" s="415">
        <v>-3.2899999999999999E-2</v>
      </c>
      <c r="V219" s="415">
        <v>-3.1899999999999998E-2</v>
      </c>
      <c r="W219" s="415">
        <v>-2.98E-2</v>
      </c>
      <c r="X219" s="416">
        <v>-2.8675999999999999</v>
      </c>
      <c r="Y219" s="418">
        <v>-0.15690000000000001</v>
      </c>
      <c r="Z219" s="418">
        <v>-0.15529999999999999</v>
      </c>
      <c r="AA219" s="418">
        <v>-9.69E-2</v>
      </c>
      <c r="AB219" s="419">
        <v>17331.324799999999</v>
      </c>
      <c r="AC219" s="419">
        <v>3066.7020000000002</v>
      </c>
      <c r="AD219" s="419">
        <v>2450.6084999999998</v>
      </c>
      <c r="AE219" s="419">
        <v>472.48919999999998</v>
      </c>
      <c r="AF219" s="420">
        <v>8.5500000000000007E-2</v>
      </c>
      <c r="AG219" s="370"/>
    </row>
    <row r="220" spans="1:33">
      <c r="A220" s="370"/>
      <c r="B220" s="406">
        <f t="shared" si="4"/>
        <v>215</v>
      </c>
      <c r="C220" s="407">
        <v>-9.9500000000000005E-2</v>
      </c>
      <c r="D220" s="407">
        <v>-1.1999999999999999E-3</v>
      </c>
      <c r="E220" s="407">
        <v>0.23330000000000001</v>
      </c>
      <c r="F220" s="407">
        <v>-9.1999999999999998E-3</v>
      </c>
      <c r="G220" s="407">
        <v>2.8999999999999998E-3</v>
      </c>
      <c r="H220" s="409">
        <v>4.1999999999999997E-3</v>
      </c>
      <c r="I220" s="409">
        <v>-6.0000000000000001E-3</v>
      </c>
      <c r="J220" s="407">
        <v>-5.9999999999999995E-4</v>
      </c>
      <c r="K220" s="410">
        <v>-1.0982000000000001</v>
      </c>
      <c r="L220" s="422">
        <v>-1.15E-2</v>
      </c>
      <c r="M220" s="412">
        <v>1.3679999999999999E-2</v>
      </c>
      <c r="N220" s="413">
        <v>1.1E-4</v>
      </c>
      <c r="O220" s="415">
        <v>-3.6071</v>
      </c>
      <c r="P220" s="415">
        <v>-0.73080000000000001</v>
      </c>
      <c r="Q220" s="415">
        <v>-0.37759999999999999</v>
      </c>
      <c r="R220" s="415">
        <v>-0.1225</v>
      </c>
      <c r="S220" s="415">
        <v>0.1062</v>
      </c>
      <c r="T220" s="415">
        <v>6.5600000000000006E-2</v>
      </c>
      <c r="U220" s="415">
        <v>-3.3700000000000001E-2</v>
      </c>
      <c r="V220" s="415">
        <v>-3.27E-2</v>
      </c>
      <c r="W220" s="415">
        <v>-3.0599999999999999E-2</v>
      </c>
      <c r="X220" s="416">
        <v>-2.9413999999999998</v>
      </c>
      <c r="Y220" s="418">
        <v>-0.16089999999999999</v>
      </c>
      <c r="Z220" s="418">
        <v>-0.1593</v>
      </c>
      <c r="AA220" s="418">
        <v>-9.9400000000000002E-2</v>
      </c>
      <c r="AB220" s="419">
        <v>17124.6643</v>
      </c>
      <c r="AC220" s="419">
        <v>3030.1343000000002</v>
      </c>
      <c r="AD220" s="419">
        <v>2421.3872000000001</v>
      </c>
      <c r="AE220" s="419">
        <v>466.85520000000002</v>
      </c>
      <c r="AF220" s="420">
        <v>9.0399999999999994E-2</v>
      </c>
      <c r="AG220" s="370"/>
    </row>
    <row r="221" spans="1:33">
      <c r="A221" s="370"/>
      <c r="B221" s="406">
        <f t="shared" si="4"/>
        <v>216</v>
      </c>
      <c r="C221" s="407">
        <v>-0.1019</v>
      </c>
      <c r="D221" s="407">
        <v>-1.1999999999999999E-3</v>
      </c>
      <c r="E221" s="407">
        <v>0.23910000000000001</v>
      </c>
      <c r="F221" s="407">
        <v>-9.4999999999999998E-3</v>
      </c>
      <c r="G221" s="407">
        <v>3.0000000000000001E-3</v>
      </c>
      <c r="H221" s="409">
        <v>4.3E-3</v>
      </c>
      <c r="I221" s="409">
        <v>-6.1000000000000004E-3</v>
      </c>
      <c r="J221" s="407">
        <v>-5.9999999999999995E-4</v>
      </c>
      <c r="K221" s="410">
        <v>-1.1254</v>
      </c>
      <c r="L221" s="422">
        <v>-1.18E-2</v>
      </c>
      <c r="M221" s="412">
        <v>1.3509999999999999E-2</v>
      </c>
      <c r="N221" s="413">
        <v>1.1E-4</v>
      </c>
      <c r="O221" s="415">
        <v>-3.6964000000000001</v>
      </c>
      <c r="P221" s="415">
        <v>-0.74890000000000001</v>
      </c>
      <c r="Q221" s="415">
        <v>-0.38690000000000002</v>
      </c>
      <c r="R221" s="415">
        <v>-0.12559999999999999</v>
      </c>
      <c r="S221" s="415">
        <v>0.10879999999999999</v>
      </c>
      <c r="T221" s="415">
        <v>6.7199999999999996E-2</v>
      </c>
      <c r="U221" s="415">
        <v>-3.4599999999999999E-2</v>
      </c>
      <c r="V221" s="415">
        <v>-3.3500000000000002E-2</v>
      </c>
      <c r="W221" s="415">
        <v>-3.1300000000000001E-2</v>
      </c>
      <c r="X221" s="416">
        <v>-3.0143</v>
      </c>
      <c r="Y221" s="418">
        <v>-0.16489999999999999</v>
      </c>
      <c r="Z221" s="418">
        <v>-0.16320000000000001</v>
      </c>
      <c r="AA221" s="418">
        <v>-0.1018</v>
      </c>
      <c r="AB221" s="419">
        <v>16912.787499999999</v>
      </c>
      <c r="AC221" s="419">
        <v>2992.6437000000001</v>
      </c>
      <c r="AD221" s="419">
        <v>2391.4283</v>
      </c>
      <c r="AE221" s="419">
        <v>461.07900000000001</v>
      </c>
      <c r="AF221" s="420">
        <v>9.5500000000000002E-2</v>
      </c>
      <c r="AG221" s="370"/>
    </row>
    <row r="222" spans="1:33">
      <c r="A222" s="370"/>
      <c r="B222" s="406">
        <f t="shared" si="4"/>
        <v>217</v>
      </c>
      <c r="C222" s="407">
        <v>-0.10440000000000001</v>
      </c>
      <c r="D222" s="407">
        <v>-1.2999999999999999E-3</v>
      </c>
      <c r="E222" s="407">
        <v>0.24479999999999999</v>
      </c>
      <c r="F222" s="407">
        <v>-9.7000000000000003E-3</v>
      </c>
      <c r="G222" s="407">
        <v>3.0999999999999999E-3</v>
      </c>
      <c r="H222" s="409">
        <v>4.4999999999999997E-3</v>
      </c>
      <c r="I222" s="409">
        <v>-6.3E-3</v>
      </c>
      <c r="J222" s="407">
        <v>-5.9999999999999995E-4</v>
      </c>
      <c r="K222" s="410">
        <v>-1.1521999999999999</v>
      </c>
      <c r="L222" s="422">
        <v>-1.2E-2</v>
      </c>
      <c r="M222" s="412">
        <v>1.3339999999999999E-2</v>
      </c>
      <c r="N222" s="413">
        <v>1.1E-4</v>
      </c>
      <c r="O222" s="415">
        <v>-3.7847</v>
      </c>
      <c r="P222" s="415">
        <v>-0.76670000000000005</v>
      </c>
      <c r="Q222" s="415">
        <v>-0.3962</v>
      </c>
      <c r="R222" s="415">
        <v>-0.12859999999999999</v>
      </c>
      <c r="S222" s="415">
        <v>0.1114</v>
      </c>
      <c r="T222" s="415">
        <v>6.88E-2</v>
      </c>
      <c r="U222" s="415">
        <v>-3.5400000000000001E-2</v>
      </c>
      <c r="V222" s="415">
        <v>-3.4299999999999997E-2</v>
      </c>
      <c r="W222" s="415">
        <v>-3.2099999999999997E-2</v>
      </c>
      <c r="X222" s="416">
        <v>-3.0861999999999998</v>
      </c>
      <c r="Y222" s="418">
        <v>-0.16889999999999999</v>
      </c>
      <c r="Z222" s="418">
        <v>-0.1671</v>
      </c>
      <c r="AA222" s="418">
        <v>-0.1043</v>
      </c>
      <c r="AB222" s="419">
        <v>16695.758900000001</v>
      </c>
      <c r="AC222" s="419">
        <v>2954.2413999999999</v>
      </c>
      <c r="AD222" s="419">
        <v>2360.741</v>
      </c>
      <c r="AE222" s="419">
        <v>455.16230000000002</v>
      </c>
      <c r="AF222" s="420">
        <v>0.1007</v>
      </c>
      <c r="AG222" s="370"/>
    </row>
    <row r="223" spans="1:33">
      <c r="A223" s="370"/>
      <c r="B223" s="406">
        <f t="shared" si="4"/>
        <v>218</v>
      </c>
      <c r="C223" s="407">
        <v>-0.10680000000000001</v>
      </c>
      <c r="D223" s="407">
        <v>-1.2999999999999999E-3</v>
      </c>
      <c r="E223" s="407">
        <v>0.2505</v>
      </c>
      <c r="F223" s="407">
        <v>-9.9000000000000008E-3</v>
      </c>
      <c r="G223" s="407">
        <v>3.0999999999999999E-3</v>
      </c>
      <c r="H223" s="409">
        <v>4.5999999999999999E-3</v>
      </c>
      <c r="I223" s="409">
        <v>-6.4000000000000003E-3</v>
      </c>
      <c r="J223" s="407">
        <v>-5.9999999999999995E-4</v>
      </c>
      <c r="K223" s="410">
        <v>-1.1787000000000001</v>
      </c>
      <c r="L223" s="422">
        <v>-1.23E-2</v>
      </c>
      <c r="M223" s="412">
        <v>1.316E-2</v>
      </c>
      <c r="N223" s="413">
        <v>1.1E-4</v>
      </c>
      <c r="O223" s="415">
        <v>-3.8717999999999999</v>
      </c>
      <c r="P223" s="415">
        <v>-0.78439999999999999</v>
      </c>
      <c r="Q223" s="415">
        <v>-0.40529999999999999</v>
      </c>
      <c r="R223" s="415">
        <v>-0.13150000000000001</v>
      </c>
      <c r="S223" s="415">
        <v>0.114</v>
      </c>
      <c r="T223" s="415">
        <v>7.0400000000000004E-2</v>
      </c>
      <c r="U223" s="415">
        <v>-3.6200000000000003E-2</v>
      </c>
      <c r="V223" s="415">
        <v>-3.5099999999999999E-2</v>
      </c>
      <c r="W223" s="415">
        <v>-3.2800000000000003E-2</v>
      </c>
      <c r="X223" s="416">
        <v>-3.1572</v>
      </c>
      <c r="Y223" s="418">
        <v>-0.17280000000000001</v>
      </c>
      <c r="Z223" s="418">
        <v>-0.17100000000000001</v>
      </c>
      <c r="AA223" s="418">
        <v>-0.1067</v>
      </c>
      <c r="AB223" s="419">
        <v>16473.644499999999</v>
      </c>
      <c r="AC223" s="419">
        <v>2914.9391999999998</v>
      </c>
      <c r="AD223" s="419">
        <v>2329.3346000000001</v>
      </c>
      <c r="AE223" s="419">
        <v>449.10700000000003</v>
      </c>
      <c r="AF223" s="420">
        <v>0.106</v>
      </c>
      <c r="AG223" s="370"/>
    </row>
    <row r="224" spans="1:33">
      <c r="A224" s="370"/>
      <c r="B224" s="406">
        <f t="shared" si="4"/>
        <v>219</v>
      </c>
      <c r="C224" s="407">
        <v>-0.1091</v>
      </c>
      <c r="D224" s="407">
        <v>-1.2999999999999999E-3</v>
      </c>
      <c r="E224" s="407">
        <v>0.25600000000000001</v>
      </c>
      <c r="F224" s="407">
        <v>-1.01E-2</v>
      </c>
      <c r="G224" s="407">
        <v>3.2000000000000002E-3</v>
      </c>
      <c r="H224" s="409">
        <v>4.7000000000000002E-3</v>
      </c>
      <c r="I224" s="409">
        <v>-6.4999999999999997E-3</v>
      </c>
      <c r="J224" s="407">
        <v>-5.9999999999999995E-4</v>
      </c>
      <c r="K224" s="410">
        <v>-1.2049000000000001</v>
      </c>
      <c r="L224" s="422">
        <v>-1.26E-2</v>
      </c>
      <c r="M224" s="412">
        <v>1.298E-2</v>
      </c>
      <c r="N224" s="413">
        <v>1.1E-4</v>
      </c>
      <c r="O224" s="415">
        <v>-3.9577</v>
      </c>
      <c r="P224" s="415">
        <v>-0.80179999999999996</v>
      </c>
      <c r="Q224" s="415">
        <v>-0.4143</v>
      </c>
      <c r="R224" s="415">
        <v>-0.13439999999999999</v>
      </c>
      <c r="S224" s="415">
        <v>0.11650000000000001</v>
      </c>
      <c r="T224" s="415">
        <v>7.1999999999999995E-2</v>
      </c>
      <c r="U224" s="415">
        <v>-3.6999999999999998E-2</v>
      </c>
      <c r="V224" s="415">
        <v>-3.5900000000000001E-2</v>
      </c>
      <c r="W224" s="415">
        <v>-3.3599999999999998E-2</v>
      </c>
      <c r="X224" s="416">
        <v>-3.2273000000000001</v>
      </c>
      <c r="Y224" s="418">
        <v>-0.17660000000000001</v>
      </c>
      <c r="Z224" s="418">
        <v>-0.17480000000000001</v>
      </c>
      <c r="AA224" s="418">
        <v>-0.109</v>
      </c>
      <c r="AB224" s="419">
        <v>16246.512199999999</v>
      </c>
      <c r="AC224" s="419">
        <v>2874.7492000000002</v>
      </c>
      <c r="AD224" s="419">
        <v>2297.2186000000002</v>
      </c>
      <c r="AE224" s="419">
        <v>442.91489999999999</v>
      </c>
      <c r="AF224" s="420">
        <v>0.1114</v>
      </c>
      <c r="AG224" s="370"/>
    </row>
    <row r="225" spans="1:33">
      <c r="A225" s="370"/>
      <c r="B225" s="406">
        <f t="shared" si="4"/>
        <v>220</v>
      </c>
      <c r="C225" s="407">
        <v>-0.1115</v>
      </c>
      <c r="D225" s="407">
        <v>-1.2999999999999999E-3</v>
      </c>
      <c r="E225" s="407">
        <v>0.26150000000000001</v>
      </c>
      <c r="F225" s="407">
        <v>-1.03E-2</v>
      </c>
      <c r="G225" s="407">
        <v>3.3E-3</v>
      </c>
      <c r="H225" s="409">
        <v>4.7999999999999996E-3</v>
      </c>
      <c r="I225" s="409">
        <v>-6.7000000000000002E-3</v>
      </c>
      <c r="J225" s="407">
        <v>-5.9999999999999995E-4</v>
      </c>
      <c r="K225" s="410">
        <v>-1.2306999999999999</v>
      </c>
      <c r="L225" s="422">
        <v>-1.29E-2</v>
      </c>
      <c r="M225" s="412">
        <v>1.2789999999999999E-2</v>
      </c>
      <c r="N225" s="413">
        <v>1.1E-4</v>
      </c>
      <c r="O225" s="415">
        <v>-4.0423</v>
      </c>
      <c r="P225" s="415">
        <v>-0.81889999999999996</v>
      </c>
      <c r="Q225" s="415">
        <v>-0.42320000000000002</v>
      </c>
      <c r="R225" s="415">
        <v>-0.13730000000000001</v>
      </c>
      <c r="S225" s="415">
        <v>0.11899999999999999</v>
      </c>
      <c r="T225" s="415">
        <v>7.3499999999999996E-2</v>
      </c>
      <c r="U225" s="415">
        <v>-3.78E-2</v>
      </c>
      <c r="V225" s="415">
        <v>-3.6700000000000003E-2</v>
      </c>
      <c r="W225" s="415">
        <v>-3.4299999999999997E-2</v>
      </c>
      <c r="X225" s="416">
        <v>-3.2963</v>
      </c>
      <c r="Y225" s="418">
        <v>-0.1804</v>
      </c>
      <c r="Z225" s="418">
        <v>-0.17849999999999999</v>
      </c>
      <c r="AA225" s="418">
        <v>-0.1114</v>
      </c>
      <c r="AB225" s="419">
        <v>16014.431</v>
      </c>
      <c r="AC225" s="419">
        <v>2833.6833999999999</v>
      </c>
      <c r="AD225" s="419">
        <v>2264.4029</v>
      </c>
      <c r="AE225" s="419">
        <v>436.58789999999999</v>
      </c>
      <c r="AF225" s="420">
        <v>0.11700000000000001</v>
      </c>
      <c r="AG225" s="370"/>
    </row>
    <row r="226" spans="1:33">
      <c r="A226" s="370"/>
      <c r="B226" s="406">
        <f t="shared" si="4"/>
        <v>221</v>
      </c>
      <c r="C226" s="407">
        <v>-0.1138</v>
      </c>
      <c r="D226" s="407">
        <v>-1.4E-3</v>
      </c>
      <c r="E226" s="407">
        <v>0.26690000000000003</v>
      </c>
      <c r="F226" s="407">
        <v>-1.06E-2</v>
      </c>
      <c r="G226" s="407">
        <v>3.3E-3</v>
      </c>
      <c r="H226" s="409">
        <v>4.8999999999999998E-3</v>
      </c>
      <c r="I226" s="409">
        <v>-6.7999999999999996E-3</v>
      </c>
      <c r="J226" s="407">
        <v>-6.9999999999999999E-4</v>
      </c>
      <c r="K226" s="410">
        <v>-1.2561</v>
      </c>
      <c r="L226" s="422">
        <v>-1.3100000000000001E-2</v>
      </c>
      <c r="M226" s="412">
        <v>1.26E-2</v>
      </c>
      <c r="N226" s="413">
        <v>1.1E-4</v>
      </c>
      <c r="O226" s="415">
        <v>-4.1257999999999999</v>
      </c>
      <c r="P226" s="415">
        <v>-0.83579999999999999</v>
      </c>
      <c r="Q226" s="415">
        <v>-0.43190000000000001</v>
      </c>
      <c r="R226" s="415">
        <v>-0.1401</v>
      </c>
      <c r="S226" s="415">
        <v>0.12139999999999999</v>
      </c>
      <c r="T226" s="415">
        <v>7.4999999999999997E-2</v>
      </c>
      <c r="U226" s="415">
        <v>-3.8600000000000002E-2</v>
      </c>
      <c r="V226" s="415">
        <v>-3.7400000000000003E-2</v>
      </c>
      <c r="W226" s="415">
        <v>-3.5000000000000003E-2</v>
      </c>
      <c r="X226" s="416">
        <v>-3.3643999999999998</v>
      </c>
      <c r="Y226" s="418">
        <v>-0.18410000000000001</v>
      </c>
      <c r="Z226" s="418">
        <v>-0.1822</v>
      </c>
      <c r="AA226" s="418">
        <v>-0.1137</v>
      </c>
      <c r="AB226" s="419">
        <v>15777.4717</v>
      </c>
      <c r="AC226" s="419">
        <v>2791.7545</v>
      </c>
      <c r="AD226" s="419">
        <v>2230.8973999999998</v>
      </c>
      <c r="AE226" s="419">
        <v>430.12790000000001</v>
      </c>
      <c r="AF226" s="420">
        <v>0.1226</v>
      </c>
      <c r="AG226" s="370"/>
    </row>
    <row r="227" spans="1:33">
      <c r="A227" s="370"/>
      <c r="B227" s="406">
        <f t="shared" si="4"/>
        <v>222</v>
      </c>
      <c r="C227" s="407">
        <v>-0.11600000000000001</v>
      </c>
      <c r="D227" s="407">
        <v>-1.4E-3</v>
      </c>
      <c r="E227" s="407">
        <v>0.2722</v>
      </c>
      <c r="F227" s="407">
        <v>-1.0800000000000001E-2</v>
      </c>
      <c r="G227" s="407">
        <v>3.3999999999999998E-3</v>
      </c>
      <c r="H227" s="409">
        <v>5.0000000000000001E-3</v>
      </c>
      <c r="I227" s="409">
        <v>-7.0000000000000001E-3</v>
      </c>
      <c r="J227" s="407">
        <v>-6.9999999999999999E-4</v>
      </c>
      <c r="K227" s="410">
        <v>-1.2810999999999999</v>
      </c>
      <c r="L227" s="422">
        <v>-1.34E-2</v>
      </c>
      <c r="M227" s="412">
        <v>1.2409999999999999E-2</v>
      </c>
      <c r="N227" s="413">
        <v>1E-4</v>
      </c>
      <c r="O227" s="415">
        <v>-4.2080000000000002</v>
      </c>
      <c r="P227" s="415">
        <v>-0.85250000000000004</v>
      </c>
      <c r="Q227" s="415">
        <v>-0.4405</v>
      </c>
      <c r="R227" s="415">
        <v>-0.1429</v>
      </c>
      <c r="S227" s="415">
        <v>0.1239</v>
      </c>
      <c r="T227" s="415">
        <v>7.6499999999999999E-2</v>
      </c>
      <c r="U227" s="415">
        <v>-3.9300000000000002E-2</v>
      </c>
      <c r="V227" s="415">
        <v>-3.8199999999999998E-2</v>
      </c>
      <c r="W227" s="415">
        <v>-3.5700000000000003E-2</v>
      </c>
      <c r="X227" s="416">
        <v>-3.4314</v>
      </c>
      <c r="Y227" s="418">
        <v>-0.18779999999999999</v>
      </c>
      <c r="Z227" s="418">
        <v>-0.18579999999999999</v>
      </c>
      <c r="AA227" s="418">
        <v>-0.1159</v>
      </c>
      <c r="AB227" s="419">
        <v>15535.706399999999</v>
      </c>
      <c r="AC227" s="419">
        <v>2748.9751999999999</v>
      </c>
      <c r="AD227" s="419">
        <v>2196.7123000000001</v>
      </c>
      <c r="AE227" s="419">
        <v>423.53680000000003</v>
      </c>
      <c r="AF227" s="420">
        <v>0.12839999999999999</v>
      </c>
      <c r="AG227" s="370"/>
    </row>
    <row r="228" spans="1:33">
      <c r="A228" s="370"/>
      <c r="B228" s="406">
        <f t="shared" si="4"/>
        <v>223</v>
      </c>
      <c r="C228" s="407">
        <v>-0.1183</v>
      </c>
      <c r="D228" s="407">
        <v>-1.4E-3</v>
      </c>
      <c r="E228" s="407">
        <v>0.27739999999999998</v>
      </c>
      <c r="F228" s="407">
        <v>-1.0999999999999999E-2</v>
      </c>
      <c r="G228" s="407">
        <v>3.5000000000000001E-3</v>
      </c>
      <c r="H228" s="409">
        <v>5.0000000000000001E-3</v>
      </c>
      <c r="I228" s="409">
        <v>-7.1000000000000004E-3</v>
      </c>
      <c r="J228" s="407">
        <v>-6.9999999999999999E-4</v>
      </c>
      <c r="K228" s="410">
        <v>-1.3058000000000001</v>
      </c>
      <c r="L228" s="422">
        <v>-1.3599999999999999E-2</v>
      </c>
      <c r="M228" s="412">
        <v>1.221E-2</v>
      </c>
      <c r="N228" s="413">
        <v>1E-4</v>
      </c>
      <c r="O228" s="415">
        <v>-4.2888999999999999</v>
      </c>
      <c r="P228" s="415">
        <v>-0.86890000000000001</v>
      </c>
      <c r="Q228" s="415">
        <v>-0.44900000000000001</v>
      </c>
      <c r="R228" s="415">
        <v>-0.1457</v>
      </c>
      <c r="S228" s="415">
        <v>0.12620000000000001</v>
      </c>
      <c r="T228" s="415">
        <v>7.8E-2</v>
      </c>
      <c r="U228" s="415">
        <v>-4.0099999999999997E-2</v>
      </c>
      <c r="V228" s="415">
        <v>-3.8899999999999997E-2</v>
      </c>
      <c r="W228" s="415">
        <v>-3.6400000000000002E-2</v>
      </c>
      <c r="X228" s="416">
        <v>-3.4973999999999998</v>
      </c>
      <c r="Y228" s="418">
        <v>-0.19139999999999999</v>
      </c>
      <c r="Z228" s="418">
        <v>-0.18940000000000001</v>
      </c>
      <c r="AA228" s="418">
        <v>-0.1181</v>
      </c>
      <c r="AB228" s="419">
        <v>15289.2088</v>
      </c>
      <c r="AC228" s="419">
        <v>2705.3584999999998</v>
      </c>
      <c r="AD228" s="419">
        <v>2161.8580999999999</v>
      </c>
      <c r="AE228" s="419">
        <v>416.8168</v>
      </c>
      <c r="AF228" s="420">
        <v>0.1343</v>
      </c>
      <c r="AG228" s="370"/>
    </row>
    <row r="229" spans="1:33">
      <c r="A229" s="370"/>
      <c r="B229" s="406">
        <f t="shared" si="4"/>
        <v>224</v>
      </c>
      <c r="C229" s="407">
        <v>-0.1205</v>
      </c>
      <c r="D229" s="407">
        <v>-1.5E-3</v>
      </c>
      <c r="E229" s="407">
        <v>0.28260000000000002</v>
      </c>
      <c r="F229" s="407">
        <v>-1.12E-2</v>
      </c>
      <c r="G229" s="407">
        <v>3.5000000000000001E-3</v>
      </c>
      <c r="H229" s="409">
        <v>5.1000000000000004E-3</v>
      </c>
      <c r="I229" s="409">
        <v>-7.1999999999999998E-3</v>
      </c>
      <c r="J229" s="407">
        <v>-6.9999999999999999E-4</v>
      </c>
      <c r="K229" s="410">
        <v>-1.33</v>
      </c>
      <c r="L229" s="422">
        <v>-1.3899999999999999E-2</v>
      </c>
      <c r="M229" s="412">
        <v>1.201E-2</v>
      </c>
      <c r="N229" s="413">
        <v>1E-4</v>
      </c>
      <c r="O229" s="415">
        <v>-4.3685</v>
      </c>
      <c r="P229" s="415">
        <v>-0.88500000000000001</v>
      </c>
      <c r="Q229" s="415">
        <v>-0.45729999999999998</v>
      </c>
      <c r="R229" s="415">
        <v>-0.1484</v>
      </c>
      <c r="S229" s="415">
        <v>0.12859999999999999</v>
      </c>
      <c r="T229" s="415">
        <v>7.9399999999999998E-2</v>
      </c>
      <c r="U229" s="415">
        <v>-4.0800000000000003E-2</v>
      </c>
      <c r="V229" s="415">
        <v>-3.9600000000000003E-2</v>
      </c>
      <c r="W229" s="415">
        <v>-3.6999999999999998E-2</v>
      </c>
      <c r="X229" s="416">
        <v>-3.5623</v>
      </c>
      <c r="Y229" s="418">
        <v>-0.19489999999999999</v>
      </c>
      <c r="Z229" s="418">
        <v>-0.19289999999999999</v>
      </c>
      <c r="AA229" s="418">
        <v>-0.1203</v>
      </c>
      <c r="AB229" s="419">
        <v>15038.053900000001</v>
      </c>
      <c r="AC229" s="419">
        <v>2660.9178000000002</v>
      </c>
      <c r="AD229" s="419">
        <v>2126.3454000000002</v>
      </c>
      <c r="AE229" s="419">
        <v>409.96969999999999</v>
      </c>
      <c r="AF229" s="420">
        <v>0.14030000000000001</v>
      </c>
      <c r="AG229" s="370"/>
    </row>
    <row r="230" spans="1:33">
      <c r="A230" s="370"/>
      <c r="B230" s="406">
        <f t="shared" si="4"/>
        <v>225</v>
      </c>
      <c r="C230" s="407">
        <v>-0.1226</v>
      </c>
      <c r="D230" s="407">
        <v>-1.5E-3</v>
      </c>
      <c r="E230" s="407">
        <v>0.28770000000000001</v>
      </c>
      <c r="F230" s="407">
        <v>-1.14E-2</v>
      </c>
      <c r="G230" s="407">
        <v>3.5999999999999999E-3</v>
      </c>
      <c r="H230" s="409">
        <v>5.1999999999999998E-3</v>
      </c>
      <c r="I230" s="409">
        <v>-7.4000000000000003E-3</v>
      </c>
      <c r="J230" s="407">
        <v>-6.9999999999999999E-4</v>
      </c>
      <c r="K230" s="410">
        <v>-1.3537999999999999</v>
      </c>
      <c r="L230" s="422">
        <v>-1.41E-2</v>
      </c>
      <c r="M230" s="412">
        <v>1.1809999999999999E-2</v>
      </c>
      <c r="N230" s="413">
        <v>1E-4</v>
      </c>
      <c r="O230" s="415">
        <v>-4.4467999999999996</v>
      </c>
      <c r="P230" s="415">
        <v>-0.90090000000000003</v>
      </c>
      <c r="Q230" s="415">
        <v>-0.46550000000000002</v>
      </c>
      <c r="R230" s="415">
        <v>-0.15110000000000001</v>
      </c>
      <c r="S230" s="415">
        <v>0.13089999999999999</v>
      </c>
      <c r="T230" s="415">
        <v>8.0799999999999997E-2</v>
      </c>
      <c r="U230" s="415">
        <v>-4.1599999999999998E-2</v>
      </c>
      <c r="V230" s="415">
        <v>-4.0399999999999998E-2</v>
      </c>
      <c r="W230" s="415">
        <v>-3.7699999999999997E-2</v>
      </c>
      <c r="X230" s="416">
        <v>-3.6261999999999999</v>
      </c>
      <c r="Y230" s="418">
        <v>-0.19839999999999999</v>
      </c>
      <c r="Z230" s="418">
        <v>-0.19639999999999999</v>
      </c>
      <c r="AA230" s="418">
        <v>-0.1225</v>
      </c>
      <c r="AB230" s="419">
        <v>14782.318300000001</v>
      </c>
      <c r="AC230" s="419">
        <v>2615.6664999999998</v>
      </c>
      <c r="AD230" s="419">
        <v>2090.1849999999999</v>
      </c>
      <c r="AE230" s="419">
        <v>402.99779999999998</v>
      </c>
      <c r="AF230" s="420">
        <v>0.1464</v>
      </c>
      <c r="AG230" s="370"/>
    </row>
    <row r="231" spans="1:33">
      <c r="A231" s="370"/>
      <c r="B231" s="406">
        <f t="shared" si="4"/>
        <v>226</v>
      </c>
      <c r="C231" s="407">
        <v>-0.12470000000000001</v>
      </c>
      <c r="D231" s="407">
        <v>-1.5E-3</v>
      </c>
      <c r="E231" s="407">
        <v>0.29260000000000003</v>
      </c>
      <c r="F231" s="407">
        <v>-1.1599999999999999E-2</v>
      </c>
      <c r="G231" s="407">
        <v>3.7000000000000002E-3</v>
      </c>
      <c r="H231" s="409">
        <v>5.3E-3</v>
      </c>
      <c r="I231" s="409">
        <v>-7.4999999999999997E-3</v>
      </c>
      <c r="J231" s="407">
        <v>-6.9999999999999999E-4</v>
      </c>
      <c r="K231" s="410">
        <v>-1.3772</v>
      </c>
      <c r="L231" s="422">
        <v>-1.44E-2</v>
      </c>
      <c r="M231" s="412">
        <v>1.1599999999999999E-2</v>
      </c>
      <c r="N231" s="413">
        <v>1E-4</v>
      </c>
      <c r="O231" s="415">
        <v>-4.5237999999999996</v>
      </c>
      <c r="P231" s="415">
        <v>-0.91649999999999998</v>
      </c>
      <c r="Q231" s="415">
        <v>-0.47360000000000002</v>
      </c>
      <c r="R231" s="415">
        <v>-0.1537</v>
      </c>
      <c r="S231" s="415">
        <v>0.13320000000000001</v>
      </c>
      <c r="T231" s="415">
        <v>8.2199999999999995E-2</v>
      </c>
      <c r="U231" s="415">
        <v>-4.2299999999999997E-2</v>
      </c>
      <c r="V231" s="415">
        <v>-4.1000000000000002E-2</v>
      </c>
      <c r="W231" s="415">
        <v>-3.8399999999999997E-2</v>
      </c>
      <c r="X231" s="416">
        <v>-3.6888999999999998</v>
      </c>
      <c r="Y231" s="418">
        <v>-0.2019</v>
      </c>
      <c r="Z231" s="418">
        <v>-0.19980000000000001</v>
      </c>
      <c r="AA231" s="418">
        <v>-0.1246</v>
      </c>
      <c r="AB231" s="419">
        <v>14522.0798</v>
      </c>
      <c r="AC231" s="419">
        <v>2569.6183999999998</v>
      </c>
      <c r="AD231" s="419">
        <v>2053.3879000000002</v>
      </c>
      <c r="AE231" s="419">
        <v>395.90320000000003</v>
      </c>
      <c r="AF231" s="420">
        <v>0.1527</v>
      </c>
      <c r="AG231" s="370"/>
    </row>
    <row r="232" spans="1:33">
      <c r="A232" s="370"/>
      <c r="B232" s="406">
        <f t="shared" si="4"/>
        <v>227</v>
      </c>
      <c r="C232" s="407">
        <v>-0.1268</v>
      </c>
      <c r="D232" s="407">
        <v>-1.5E-3</v>
      </c>
      <c r="E232" s="407">
        <v>0.29749999999999999</v>
      </c>
      <c r="F232" s="407">
        <v>-1.18E-2</v>
      </c>
      <c r="G232" s="407">
        <v>3.7000000000000002E-3</v>
      </c>
      <c r="H232" s="409">
        <v>5.4000000000000003E-3</v>
      </c>
      <c r="I232" s="409">
        <v>-7.6E-3</v>
      </c>
      <c r="J232" s="407">
        <v>-6.9999999999999999E-4</v>
      </c>
      <c r="K232" s="410">
        <v>-1.4001999999999999</v>
      </c>
      <c r="L232" s="422">
        <v>-1.46E-2</v>
      </c>
      <c r="M232" s="412">
        <v>1.1390000000000001E-2</v>
      </c>
      <c r="N232" s="413">
        <v>1E-4</v>
      </c>
      <c r="O232" s="415">
        <v>-4.5993000000000004</v>
      </c>
      <c r="P232" s="415">
        <v>-0.93179999999999996</v>
      </c>
      <c r="Q232" s="415">
        <v>-0.48149999999999998</v>
      </c>
      <c r="R232" s="415">
        <v>-0.15620000000000001</v>
      </c>
      <c r="S232" s="415">
        <v>0.13539999999999999</v>
      </c>
      <c r="T232" s="415">
        <v>8.3599999999999994E-2</v>
      </c>
      <c r="U232" s="415">
        <v>-4.2999999999999997E-2</v>
      </c>
      <c r="V232" s="415">
        <v>-4.1700000000000001E-2</v>
      </c>
      <c r="W232" s="415">
        <v>-3.9E-2</v>
      </c>
      <c r="X232" s="416">
        <v>-3.7505000000000002</v>
      </c>
      <c r="Y232" s="418">
        <v>-0.20519999999999999</v>
      </c>
      <c r="Z232" s="418">
        <v>-0.2031</v>
      </c>
      <c r="AA232" s="418">
        <v>-0.12670000000000001</v>
      </c>
      <c r="AB232" s="419">
        <v>14257.417799999999</v>
      </c>
      <c r="AC232" s="419">
        <v>2522.7876000000001</v>
      </c>
      <c r="AD232" s="419">
        <v>2015.9653000000001</v>
      </c>
      <c r="AE232" s="419">
        <v>388.68790000000001</v>
      </c>
      <c r="AF232" s="420">
        <v>0.159</v>
      </c>
      <c r="AG232" s="370"/>
    </row>
    <row r="233" spans="1:33">
      <c r="A233" s="370"/>
      <c r="B233" s="406">
        <f t="shared" si="4"/>
        <v>228</v>
      </c>
      <c r="C233" s="407">
        <v>-0.12889999999999999</v>
      </c>
      <c r="D233" s="407">
        <v>-1.6000000000000001E-3</v>
      </c>
      <c r="E233" s="407">
        <v>0.30230000000000001</v>
      </c>
      <c r="F233" s="407">
        <v>-1.2E-2</v>
      </c>
      <c r="G233" s="407">
        <v>3.8E-3</v>
      </c>
      <c r="H233" s="409">
        <v>5.4999999999999997E-3</v>
      </c>
      <c r="I233" s="409">
        <v>-7.7000000000000002E-3</v>
      </c>
      <c r="J233" s="407">
        <v>-6.9999999999999999E-4</v>
      </c>
      <c r="K233" s="410">
        <v>-1.4228000000000001</v>
      </c>
      <c r="L233" s="422">
        <v>-1.49E-2</v>
      </c>
      <c r="M233" s="412">
        <v>1.1169999999999999E-2</v>
      </c>
      <c r="N233" s="413">
        <v>9.0000000000000006E-5</v>
      </c>
      <c r="O233" s="415">
        <v>-4.6734999999999998</v>
      </c>
      <c r="P233" s="415">
        <v>-0.94679999999999997</v>
      </c>
      <c r="Q233" s="415">
        <v>-0.48920000000000002</v>
      </c>
      <c r="R233" s="415">
        <v>-0.15870000000000001</v>
      </c>
      <c r="S233" s="415">
        <v>0.1376</v>
      </c>
      <c r="T233" s="415">
        <v>8.5000000000000006E-2</v>
      </c>
      <c r="U233" s="415">
        <v>-4.3700000000000003E-2</v>
      </c>
      <c r="V233" s="415">
        <v>-4.24E-2</v>
      </c>
      <c r="W233" s="415">
        <v>-3.9600000000000003E-2</v>
      </c>
      <c r="X233" s="416">
        <v>-3.8109999999999999</v>
      </c>
      <c r="Y233" s="418">
        <v>-0.20849999999999999</v>
      </c>
      <c r="Z233" s="418">
        <v>-0.2064</v>
      </c>
      <c r="AA233" s="418">
        <v>-0.12870000000000001</v>
      </c>
      <c r="AB233" s="419">
        <v>13988.412899999999</v>
      </c>
      <c r="AC233" s="419">
        <v>2475.1884</v>
      </c>
      <c r="AD233" s="419">
        <v>1977.9286999999999</v>
      </c>
      <c r="AE233" s="419">
        <v>381.35430000000002</v>
      </c>
      <c r="AF233" s="420">
        <v>0.16539999999999999</v>
      </c>
      <c r="AG233" s="370"/>
    </row>
    <row r="234" spans="1:33">
      <c r="A234" s="370"/>
      <c r="B234" s="406">
        <f t="shared" si="4"/>
        <v>229</v>
      </c>
      <c r="C234" s="407">
        <v>-0.13089999999999999</v>
      </c>
      <c r="D234" s="407">
        <v>-1.6000000000000001E-3</v>
      </c>
      <c r="E234" s="407">
        <v>0.307</v>
      </c>
      <c r="F234" s="407">
        <v>-1.2200000000000001E-2</v>
      </c>
      <c r="G234" s="407">
        <v>3.8E-3</v>
      </c>
      <c r="H234" s="409">
        <v>5.5999999999999999E-3</v>
      </c>
      <c r="I234" s="409">
        <v>-7.7999999999999996E-3</v>
      </c>
      <c r="J234" s="407">
        <v>-8.0000000000000004E-4</v>
      </c>
      <c r="K234" s="410">
        <v>-1.4450000000000001</v>
      </c>
      <c r="L234" s="422">
        <v>-1.5100000000000001E-2</v>
      </c>
      <c r="M234" s="412">
        <v>1.0959999999999999E-2</v>
      </c>
      <c r="N234" s="413">
        <v>9.0000000000000006E-5</v>
      </c>
      <c r="O234" s="415">
        <v>-4.7462</v>
      </c>
      <c r="P234" s="415">
        <v>-0.96150000000000002</v>
      </c>
      <c r="Q234" s="415">
        <v>-0.49680000000000002</v>
      </c>
      <c r="R234" s="415">
        <v>-0.16120000000000001</v>
      </c>
      <c r="S234" s="415">
        <v>0.13969999999999999</v>
      </c>
      <c r="T234" s="415">
        <v>8.6300000000000002E-2</v>
      </c>
      <c r="U234" s="415">
        <v>-4.4400000000000002E-2</v>
      </c>
      <c r="V234" s="415">
        <v>-4.3099999999999999E-2</v>
      </c>
      <c r="W234" s="415">
        <v>-4.02E-2</v>
      </c>
      <c r="X234" s="416">
        <v>-3.8702999999999999</v>
      </c>
      <c r="Y234" s="418">
        <v>-0.21179999999999999</v>
      </c>
      <c r="Z234" s="418">
        <v>-0.20960000000000001</v>
      </c>
      <c r="AA234" s="418">
        <v>-0.13070000000000001</v>
      </c>
      <c r="AB234" s="419">
        <v>13715.1469</v>
      </c>
      <c r="AC234" s="419">
        <v>2426.8352</v>
      </c>
      <c r="AD234" s="419">
        <v>1939.2895000000001</v>
      </c>
      <c r="AE234" s="419">
        <v>373.90440000000001</v>
      </c>
      <c r="AF234" s="420">
        <v>0.17199999999999999</v>
      </c>
      <c r="AG234" s="370"/>
    </row>
    <row r="235" spans="1:33">
      <c r="A235" s="370"/>
      <c r="B235" s="406">
        <f t="shared" si="4"/>
        <v>230</v>
      </c>
      <c r="C235" s="407">
        <v>-0.1328</v>
      </c>
      <c r="D235" s="407">
        <v>-1.6000000000000001E-3</v>
      </c>
      <c r="E235" s="407">
        <v>0.31159999999999999</v>
      </c>
      <c r="F235" s="407">
        <v>-1.23E-2</v>
      </c>
      <c r="G235" s="407">
        <v>3.8999999999999998E-3</v>
      </c>
      <c r="H235" s="409">
        <v>5.7000000000000002E-3</v>
      </c>
      <c r="I235" s="409">
        <v>-8.0000000000000002E-3</v>
      </c>
      <c r="J235" s="407">
        <v>-8.0000000000000004E-4</v>
      </c>
      <c r="K235" s="410">
        <v>-1.4666999999999999</v>
      </c>
      <c r="L235" s="422">
        <v>-1.5299999999999999E-2</v>
      </c>
      <c r="M235" s="412">
        <v>1.073E-2</v>
      </c>
      <c r="N235" s="413">
        <v>9.0000000000000006E-5</v>
      </c>
      <c r="O235" s="415">
        <v>-4.8174999999999999</v>
      </c>
      <c r="P235" s="415">
        <v>-0.97599999999999998</v>
      </c>
      <c r="Q235" s="415">
        <v>-0.50429999999999997</v>
      </c>
      <c r="R235" s="415">
        <v>-0.1636</v>
      </c>
      <c r="S235" s="415">
        <v>0.14180000000000001</v>
      </c>
      <c r="T235" s="415">
        <v>8.7599999999999997E-2</v>
      </c>
      <c r="U235" s="415">
        <v>-4.4999999999999998E-2</v>
      </c>
      <c r="V235" s="415">
        <v>-4.3700000000000003E-2</v>
      </c>
      <c r="W235" s="415">
        <v>-4.0800000000000003E-2</v>
      </c>
      <c r="X235" s="416">
        <v>-3.9283999999999999</v>
      </c>
      <c r="Y235" s="418">
        <v>-0.215</v>
      </c>
      <c r="Z235" s="418">
        <v>-0.2127</v>
      </c>
      <c r="AA235" s="418">
        <v>-0.13270000000000001</v>
      </c>
      <c r="AB235" s="419">
        <v>13437.7032</v>
      </c>
      <c r="AC235" s="419">
        <v>2377.7426999999998</v>
      </c>
      <c r="AD235" s="419">
        <v>1900.0596</v>
      </c>
      <c r="AE235" s="419">
        <v>366.34070000000003</v>
      </c>
      <c r="AF235" s="420">
        <v>0.17860000000000001</v>
      </c>
      <c r="AG235" s="370"/>
    </row>
    <row r="236" spans="1:33">
      <c r="A236" s="370"/>
      <c r="B236" s="406">
        <f t="shared" si="4"/>
        <v>231</v>
      </c>
      <c r="C236" s="407">
        <v>-0.1348</v>
      </c>
      <c r="D236" s="407">
        <v>-1.6000000000000001E-3</v>
      </c>
      <c r="E236" s="407">
        <v>0.31609999999999999</v>
      </c>
      <c r="F236" s="407">
        <v>-1.2500000000000001E-2</v>
      </c>
      <c r="G236" s="407">
        <v>4.0000000000000001E-3</v>
      </c>
      <c r="H236" s="409">
        <v>5.7999999999999996E-3</v>
      </c>
      <c r="I236" s="409">
        <v>-8.0999999999999996E-3</v>
      </c>
      <c r="J236" s="407">
        <v>-8.0000000000000004E-4</v>
      </c>
      <c r="K236" s="410">
        <v>-1.4879</v>
      </c>
      <c r="L236" s="422">
        <v>-1.55E-2</v>
      </c>
      <c r="M236" s="412">
        <v>1.051E-2</v>
      </c>
      <c r="N236" s="413">
        <v>9.0000000000000006E-5</v>
      </c>
      <c r="O236" s="415">
        <v>-4.8872999999999998</v>
      </c>
      <c r="P236" s="415">
        <v>-0.99009999999999998</v>
      </c>
      <c r="Q236" s="415">
        <v>-0.51160000000000005</v>
      </c>
      <c r="R236" s="415">
        <v>-0.16600000000000001</v>
      </c>
      <c r="S236" s="415">
        <v>0.1439</v>
      </c>
      <c r="T236" s="415">
        <v>8.8900000000000007E-2</v>
      </c>
      <c r="U236" s="415">
        <v>-4.5699999999999998E-2</v>
      </c>
      <c r="V236" s="415">
        <v>-4.4299999999999999E-2</v>
      </c>
      <c r="W236" s="415">
        <v>-4.1399999999999999E-2</v>
      </c>
      <c r="X236" s="416">
        <v>-3.9853999999999998</v>
      </c>
      <c r="Y236" s="418">
        <v>-0.21809999999999999</v>
      </c>
      <c r="Z236" s="418">
        <v>-0.21579999999999999</v>
      </c>
      <c r="AA236" s="418">
        <v>-0.1346</v>
      </c>
      <c r="AB236" s="419">
        <v>13156.1662</v>
      </c>
      <c r="AC236" s="419">
        <v>2327.9259999999999</v>
      </c>
      <c r="AD236" s="419">
        <v>1860.2509</v>
      </c>
      <c r="AE236" s="419">
        <v>358.66539999999998</v>
      </c>
      <c r="AF236" s="420">
        <v>0.18529999999999999</v>
      </c>
      <c r="AG236" s="370"/>
    </row>
    <row r="237" spans="1:33">
      <c r="A237" s="370"/>
      <c r="B237" s="406">
        <f t="shared" si="4"/>
        <v>232</v>
      </c>
      <c r="C237" s="407">
        <v>-0.1366</v>
      </c>
      <c r="D237" s="407">
        <v>-1.6999999999999999E-3</v>
      </c>
      <c r="E237" s="407">
        <v>0.3206</v>
      </c>
      <c r="F237" s="407">
        <v>-1.2699999999999999E-2</v>
      </c>
      <c r="G237" s="407">
        <v>4.0000000000000001E-3</v>
      </c>
      <c r="H237" s="409">
        <v>5.7999999999999996E-3</v>
      </c>
      <c r="I237" s="409">
        <v>-8.2000000000000007E-3</v>
      </c>
      <c r="J237" s="407">
        <v>-8.0000000000000004E-4</v>
      </c>
      <c r="K237" s="410">
        <v>-1.5086999999999999</v>
      </c>
      <c r="L237" s="422">
        <v>-1.5800000000000002E-2</v>
      </c>
      <c r="M237" s="412">
        <v>1.0279999999999999E-2</v>
      </c>
      <c r="N237" s="413">
        <v>9.0000000000000006E-5</v>
      </c>
      <c r="O237" s="415">
        <v>-4.9555999999999996</v>
      </c>
      <c r="P237" s="415">
        <v>-1.0039</v>
      </c>
      <c r="Q237" s="415">
        <v>-0.51880000000000004</v>
      </c>
      <c r="R237" s="415">
        <v>-0.16830000000000001</v>
      </c>
      <c r="S237" s="415">
        <v>0.1459</v>
      </c>
      <c r="T237" s="415">
        <v>9.01E-2</v>
      </c>
      <c r="U237" s="415">
        <v>-4.6300000000000001E-2</v>
      </c>
      <c r="V237" s="415">
        <v>-4.4999999999999998E-2</v>
      </c>
      <c r="W237" s="415">
        <v>-4.2000000000000003E-2</v>
      </c>
      <c r="X237" s="416">
        <v>-4.0411000000000001</v>
      </c>
      <c r="Y237" s="418">
        <v>-0.22109999999999999</v>
      </c>
      <c r="Z237" s="418">
        <v>-0.21879999999999999</v>
      </c>
      <c r="AA237" s="418">
        <v>-0.13650000000000001</v>
      </c>
      <c r="AB237" s="419">
        <v>12870.6217</v>
      </c>
      <c r="AC237" s="419">
        <v>2277.4000999999998</v>
      </c>
      <c r="AD237" s="419">
        <v>1819.8756000000001</v>
      </c>
      <c r="AE237" s="419">
        <v>350.8809</v>
      </c>
      <c r="AF237" s="420">
        <v>0.19220000000000001</v>
      </c>
      <c r="AG237" s="370"/>
    </row>
    <row r="238" spans="1:33">
      <c r="A238" s="370"/>
      <c r="B238" s="406">
        <f t="shared" si="4"/>
        <v>233</v>
      </c>
      <c r="C238" s="407">
        <v>-0.13850000000000001</v>
      </c>
      <c r="D238" s="407">
        <v>-1.6999999999999999E-3</v>
      </c>
      <c r="E238" s="407">
        <v>0.32490000000000002</v>
      </c>
      <c r="F238" s="407">
        <v>-1.29E-2</v>
      </c>
      <c r="G238" s="407">
        <v>4.1000000000000003E-3</v>
      </c>
      <c r="H238" s="409">
        <v>5.8999999999999999E-3</v>
      </c>
      <c r="I238" s="409">
        <v>-8.3000000000000001E-3</v>
      </c>
      <c r="J238" s="407">
        <v>-8.0000000000000004E-4</v>
      </c>
      <c r="K238" s="410">
        <v>-1.5290999999999999</v>
      </c>
      <c r="L238" s="422">
        <v>-1.6E-2</v>
      </c>
      <c r="M238" s="412">
        <v>1.005E-2</v>
      </c>
      <c r="N238" s="413">
        <v>8.0000000000000007E-5</v>
      </c>
      <c r="O238" s="415">
        <v>-5.0224000000000002</v>
      </c>
      <c r="P238" s="415">
        <v>-1.0175000000000001</v>
      </c>
      <c r="Q238" s="415">
        <v>-0.52580000000000005</v>
      </c>
      <c r="R238" s="415">
        <v>-0.1706</v>
      </c>
      <c r="S238" s="415">
        <v>0.14779999999999999</v>
      </c>
      <c r="T238" s="415">
        <v>9.1300000000000006E-2</v>
      </c>
      <c r="U238" s="415">
        <v>-4.7E-2</v>
      </c>
      <c r="V238" s="415">
        <v>-4.5600000000000002E-2</v>
      </c>
      <c r="W238" s="415">
        <v>-4.2599999999999999E-2</v>
      </c>
      <c r="X238" s="416">
        <v>-4.0956000000000001</v>
      </c>
      <c r="Y238" s="418">
        <v>-0.22409999999999999</v>
      </c>
      <c r="Z238" s="418">
        <v>-0.2218</v>
      </c>
      <c r="AA238" s="418">
        <v>-0.1384</v>
      </c>
      <c r="AB238" s="419">
        <v>12581.1567</v>
      </c>
      <c r="AC238" s="419">
        <v>2226.1806000000001</v>
      </c>
      <c r="AD238" s="419">
        <v>1778.9459999999999</v>
      </c>
      <c r="AE238" s="419">
        <v>342.98939999999999</v>
      </c>
      <c r="AF238" s="420">
        <v>0.1991</v>
      </c>
      <c r="AG238" s="370"/>
    </row>
    <row r="239" spans="1:33">
      <c r="A239" s="370"/>
      <c r="B239" s="406">
        <f t="shared" si="4"/>
        <v>234</v>
      </c>
      <c r="C239" s="407">
        <v>-0.14030000000000001</v>
      </c>
      <c r="D239" s="407">
        <v>-1.6999999999999999E-3</v>
      </c>
      <c r="E239" s="407">
        <v>0.3291</v>
      </c>
      <c r="F239" s="407">
        <v>-1.2999999999999999E-2</v>
      </c>
      <c r="G239" s="407">
        <v>4.1000000000000003E-3</v>
      </c>
      <c r="H239" s="409">
        <v>6.0000000000000001E-3</v>
      </c>
      <c r="I239" s="409">
        <v>-8.3999999999999995E-3</v>
      </c>
      <c r="J239" s="407">
        <v>-8.0000000000000004E-4</v>
      </c>
      <c r="K239" s="410">
        <v>-1.5488999999999999</v>
      </c>
      <c r="L239" s="422">
        <v>-1.6199999999999999E-2</v>
      </c>
      <c r="M239" s="412">
        <v>9.8200000000000006E-3</v>
      </c>
      <c r="N239" s="413">
        <v>8.0000000000000007E-5</v>
      </c>
      <c r="O239" s="415">
        <v>-5.0876999999999999</v>
      </c>
      <c r="P239" s="415">
        <v>-1.0306999999999999</v>
      </c>
      <c r="Q239" s="415">
        <v>-0.53259999999999996</v>
      </c>
      <c r="R239" s="415">
        <v>-0.17280000000000001</v>
      </c>
      <c r="S239" s="415">
        <v>0.14979999999999999</v>
      </c>
      <c r="T239" s="415">
        <v>9.2499999999999999E-2</v>
      </c>
      <c r="U239" s="415">
        <v>-4.7600000000000003E-2</v>
      </c>
      <c r="V239" s="415">
        <v>-4.6199999999999998E-2</v>
      </c>
      <c r="W239" s="415">
        <v>-4.3099999999999999E-2</v>
      </c>
      <c r="X239" s="416">
        <v>-4.1487999999999996</v>
      </c>
      <c r="Y239" s="418">
        <v>-0.22700000000000001</v>
      </c>
      <c r="Z239" s="418">
        <v>-0.22470000000000001</v>
      </c>
      <c r="AA239" s="418">
        <v>-0.14019999999999999</v>
      </c>
      <c r="AB239" s="419">
        <v>12287.859399999999</v>
      </c>
      <c r="AC239" s="419">
        <v>2174.2829000000002</v>
      </c>
      <c r="AD239" s="419">
        <v>1737.4744000000001</v>
      </c>
      <c r="AE239" s="419">
        <v>334.99349999999998</v>
      </c>
      <c r="AF239" s="420">
        <v>0.20610000000000001</v>
      </c>
      <c r="AG239" s="370"/>
    </row>
    <row r="240" spans="1:33">
      <c r="A240" s="370"/>
      <c r="B240" s="406">
        <f t="shared" si="4"/>
        <v>235</v>
      </c>
      <c r="C240" s="407">
        <v>-0.14199999999999999</v>
      </c>
      <c r="D240" s="407">
        <v>-1.6999999999999999E-3</v>
      </c>
      <c r="E240" s="407">
        <v>0.3332</v>
      </c>
      <c r="F240" s="407">
        <v>-1.32E-2</v>
      </c>
      <c r="G240" s="407">
        <v>4.1999999999999997E-3</v>
      </c>
      <c r="H240" s="409">
        <v>6.1000000000000004E-3</v>
      </c>
      <c r="I240" s="409">
        <v>-8.5000000000000006E-3</v>
      </c>
      <c r="J240" s="407">
        <v>-8.0000000000000004E-4</v>
      </c>
      <c r="K240" s="410">
        <v>-1.5683</v>
      </c>
      <c r="L240" s="422">
        <v>-1.6400000000000001E-2</v>
      </c>
      <c r="M240" s="412">
        <v>9.58E-3</v>
      </c>
      <c r="N240" s="413">
        <v>8.0000000000000007E-5</v>
      </c>
      <c r="O240" s="415">
        <v>-5.1515000000000004</v>
      </c>
      <c r="P240" s="415">
        <v>-1.0436000000000001</v>
      </c>
      <c r="Q240" s="415">
        <v>-0.5393</v>
      </c>
      <c r="R240" s="415">
        <v>-0.17499999999999999</v>
      </c>
      <c r="S240" s="415">
        <v>0.15160000000000001</v>
      </c>
      <c r="T240" s="415">
        <v>9.3700000000000006E-2</v>
      </c>
      <c r="U240" s="415">
        <v>-4.82E-2</v>
      </c>
      <c r="V240" s="415">
        <v>-4.6699999999999998E-2</v>
      </c>
      <c r="W240" s="415">
        <v>-4.3700000000000003E-2</v>
      </c>
      <c r="X240" s="416">
        <v>-4.2008000000000001</v>
      </c>
      <c r="Y240" s="418">
        <v>-0.22989999999999999</v>
      </c>
      <c r="Z240" s="418">
        <v>-0.22750000000000001</v>
      </c>
      <c r="AA240" s="418">
        <v>-0.1419</v>
      </c>
      <c r="AB240" s="419">
        <v>11990.819</v>
      </c>
      <c r="AC240" s="419">
        <v>2121.7229000000002</v>
      </c>
      <c r="AD240" s="419">
        <v>1695.4736</v>
      </c>
      <c r="AE240" s="419">
        <v>326.8956</v>
      </c>
      <c r="AF240" s="420">
        <v>0.2132</v>
      </c>
      <c r="AG240" s="370"/>
    </row>
    <row r="241" spans="1:33">
      <c r="A241" s="370"/>
      <c r="B241" s="406">
        <f t="shared" si="4"/>
        <v>236</v>
      </c>
      <c r="C241" s="407">
        <v>-0.14380000000000001</v>
      </c>
      <c r="D241" s="407">
        <v>-1.6999999999999999E-3</v>
      </c>
      <c r="E241" s="407">
        <v>0.33729999999999999</v>
      </c>
      <c r="F241" s="407">
        <v>-1.3299999999999999E-2</v>
      </c>
      <c r="G241" s="407">
        <v>4.1999999999999997E-3</v>
      </c>
      <c r="H241" s="409">
        <v>6.1000000000000004E-3</v>
      </c>
      <c r="I241" s="409">
        <v>-8.6E-3</v>
      </c>
      <c r="J241" s="407">
        <v>-8.0000000000000004E-4</v>
      </c>
      <c r="K241" s="410">
        <v>-1.5872999999999999</v>
      </c>
      <c r="L241" s="422">
        <v>-1.66E-2</v>
      </c>
      <c r="M241" s="412">
        <v>9.3399999999999993E-3</v>
      </c>
      <c r="N241" s="413">
        <v>8.0000000000000007E-5</v>
      </c>
      <c r="O241" s="415">
        <v>-5.2135999999999996</v>
      </c>
      <c r="P241" s="415">
        <v>-1.0562</v>
      </c>
      <c r="Q241" s="415">
        <v>-0.54579999999999995</v>
      </c>
      <c r="R241" s="415">
        <v>-0.17710000000000001</v>
      </c>
      <c r="S241" s="415">
        <v>0.1535</v>
      </c>
      <c r="T241" s="415">
        <v>9.4799999999999995E-2</v>
      </c>
      <c r="U241" s="415">
        <v>-4.87E-2</v>
      </c>
      <c r="V241" s="415">
        <v>-4.7300000000000002E-2</v>
      </c>
      <c r="W241" s="415">
        <v>-4.4200000000000003E-2</v>
      </c>
      <c r="X241" s="416">
        <v>-4.2515000000000001</v>
      </c>
      <c r="Y241" s="418">
        <v>-0.2326</v>
      </c>
      <c r="Z241" s="418">
        <v>-0.23019999999999999</v>
      </c>
      <c r="AA241" s="418">
        <v>-0.14360000000000001</v>
      </c>
      <c r="AB241" s="419">
        <v>11690.126200000001</v>
      </c>
      <c r="AC241" s="419">
        <v>2068.5165999999999</v>
      </c>
      <c r="AD241" s="419">
        <v>1652.9563000000001</v>
      </c>
      <c r="AE241" s="419">
        <v>318.69799999999998</v>
      </c>
      <c r="AF241" s="420">
        <v>0.22040000000000001</v>
      </c>
      <c r="AG241" s="370"/>
    </row>
    <row r="242" spans="1:33">
      <c r="A242" s="370"/>
      <c r="B242" s="406">
        <f t="shared" si="4"/>
        <v>237</v>
      </c>
      <c r="C242" s="407">
        <v>-0.1454</v>
      </c>
      <c r="D242" s="407">
        <v>-1.8E-3</v>
      </c>
      <c r="E242" s="407">
        <v>0.3412</v>
      </c>
      <c r="F242" s="407">
        <v>-1.35E-2</v>
      </c>
      <c r="G242" s="407">
        <v>4.3E-3</v>
      </c>
      <c r="H242" s="409">
        <v>6.1999999999999998E-3</v>
      </c>
      <c r="I242" s="409">
        <v>-8.6999999999999994E-3</v>
      </c>
      <c r="J242" s="407">
        <v>-8.0000000000000004E-4</v>
      </c>
      <c r="K242" s="410">
        <v>-1.6056999999999999</v>
      </c>
      <c r="L242" s="422">
        <v>-1.6799999999999999E-2</v>
      </c>
      <c r="M242" s="412">
        <v>9.1000000000000004E-3</v>
      </c>
      <c r="N242" s="413">
        <v>8.0000000000000007E-5</v>
      </c>
      <c r="O242" s="415">
        <v>-5.2742000000000004</v>
      </c>
      <c r="P242" s="415">
        <v>-1.0685</v>
      </c>
      <c r="Q242" s="415">
        <v>-0.55210000000000004</v>
      </c>
      <c r="R242" s="415">
        <v>-0.1792</v>
      </c>
      <c r="S242" s="415">
        <v>0.15529999999999999</v>
      </c>
      <c r="T242" s="415">
        <v>9.5899999999999999E-2</v>
      </c>
      <c r="U242" s="415">
        <v>-4.9299999999999997E-2</v>
      </c>
      <c r="V242" s="415">
        <v>-4.7899999999999998E-2</v>
      </c>
      <c r="W242" s="415">
        <v>-4.4699999999999997E-2</v>
      </c>
      <c r="X242" s="416">
        <v>-4.3009000000000004</v>
      </c>
      <c r="Y242" s="418">
        <v>-0.23530000000000001</v>
      </c>
      <c r="Z242" s="418">
        <v>-0.2329</v>
      </c>
      <c r="AA242" s="418">
        <v>-0.14530000000000001</v>
      </c>
      <c r="AB242" s="419">
        <v>11385.8724</v>
      </c>
      <c r="AC242" s="419">
        <v>2014.6802</v>
      </c>
      <c r="AD242" s="419">
        <v>1609.9356</v>
      </c>
      <c r="AE242" s="419">
        <v>310.40339999999998</v>
      </c>
      <c r="AF242" s="420">
        <v>0.22770000000000001</v>
      </c>
      <c r="AG242" s="370"/>
    </row>
    <row r="243" spans="1:33">
      <c r="A243" s="370"/>
      <c r="B243" s="406">
        <f t="shared" si="4"/>
        <v>238</v>
      </c>
      <c r="C243" s="407">
        <v>-0.14710000000000001</v>
      </c>
      <c r="D243" s="407">
        <v>-1.8E-3</v>
      </c>
      <c r="E243" s="407">
        <v>0.34499999999999997</v>
      </c>
      <c r="F243" s="407">
        <v>-1.37E-2</v>
      </c>
      <c r="G243" s="407">
        <v>4.3E-3</v>
      </c>
      <c r="H243" s="409">
        <v>6.3E-3</v>
      </c>
      <c r="I243" s="409">
        <v>-8.8000000000000005E-3</v>
      </c>
      <c r="J243" s="407">
        <v>-8.0000000000000004E-4</v>
      </c>
      <c r="K243" s="410">
        <v>-1.6236999999999999</v>
      </c>
      <c r="L243" s="422">
        <v>-1.7000000000000001E-2</v>
      </c>
      <c r="M243" s="412">
        <v>8.8500000000000002E-3</v>
      </c>
      <c r="N243" s="413">
        <v>6.9999999999999994E-5</v>
      </c>
      <c r="O243" s="415">
        <v>-5.3331999999999997</v>
      </c>
      <c r="P243" s="415">
        <v>-1.0804</v>
      </c>
      <c r="Q243" s="415">
        <v>-0.55830000000000002</v>
      </c>
      <c r="R243" s="415">
        <v>-0.1812</v>
      </c>
      <c r="S243" s="415">
        <v>0.157</v>
      </c>
      <c r="T243" s="415">
        <v>9.7000000000000003E-2</v>
      </c>
      <c r="U243" s="415">
        <v>-4.99E-2</v>
      </c>
      <c r="V243" s="415">
        <v>-4.8399999999999999E-2</v>
      </c>
      <c r="W243" s="415">
        <v>-4.5199999999999997E-2</v>
      </c>
      <c r="X243" s="416">
        <v>-4.3490000000000002</v>
      </c>
      <c r="Y243" s="418">
        <v>-0.23799999999999999</v>
      </c>
      <c r="Z243" s="418">
        <v>-0.23549999999999999</v>
      </c>
      <c r="AA243" s="418">
        <v>-0.1469</v>
      </c>
      <c r="AB243" s="419">
        <v>11078.150299999999</v>
      </c>
      <c r="AC243" s="419">
        <v>1960.2302</v>
      </c>
      <c r="AD243" s="419">
        <v>1566.4244000000001</v>
      </c>
      <c r="AE243" s="419">
        <v>302.01420000000002</v>
      </c>
      <c r="AF243" s="420">
        <v>0.23499999999999999</v>
      </c>
      <c r="AG243" s="370"/>
    </row>
    <row r="244" spans="1:33">
      <c r="A244" s="370"/>
      <c r="B244" s="406">
        <f t="shared" si="4"/>
        <v>239</v>
      </c>
      <c r="C244" s="407">
        <v>-0.14860000000000001</v>
      </c>
      <c r="D244" s="407">
        <v>-1.8E-3</v>
      </c>
      <c r="E244" s="407">
        <v>0.34870000000000001</v>
      </c>
      <c r="F244" s="407">
        <v>-1.38E-2</v>
      </c>
      <c r="G244" s="407">
        <v>4.4000000000000003E-3</v>
      </c>
      <c r="H244" s="409">
        <v>6.3E-3</v>
      </c>
      <c r="I244" s="409">
        <v>-8.8999999999999999E-3</v>
      </c>
      <c r="J244" s="407">
        <v>-8.9999999999999998E-4</v>
      </c>
      <c r="K244" s="410">
        <v>-1.6411</v>
      </c>
      <c r="L244" s="422">
        <v>-1.7100000000000001E-2</v>
      </c>
      <c r="M244" s="412">
        <v>8.6E-3</v>
      </c>
      <c r="N244" s="413">
        <v>6.9999999999999994E-5</v>
      </c>
      <c r="O244" s="415">
        <v>-5.3905000000000003</v>
      </c>
      <c r="P244" s="415">
        <v>-1.0921000000000001</v>
      </c>
      <c r="Q244" s="415">
        <v>-0.56430000000000002</v>
      </c>
      <c r="R244" s="415">
        <v>-0.18310000000000001</v>
      </c>
      <c r="S244" s="415">
        <v>0.15870000000000001</v>
      </c>
      <c r="T244" s="415">
        <v>9.8000000000000004E-2</v>
      </c>
      <c r="U244" s="415">
        <v>-5.04E-2</v>
      </c>
      <c r="V244" s="415">
        <v>-4.8899999999999999E-2</v>
      </c>
      <c r="W244" s="415">
        <v>-4.5699999999999998E-2</v>
      </c>
      <c r="X244" s="416">
        <v>-4.3956999999999997</v>
      </c>
      <c r="Y244" s="418">
        <v>-0.24049999999999999</v>
      </c>
      <c r="Z244" s="418">
        <v>-0.23799999999999999</v>
      </c>
      <c r="AA244" s="418">
        <v>-0.14849999999999999</v>
      </c>
      <c r="AB244" s="419">
        <v>10767.0538</v>
      </c>
      <c r="AC244" s="419">
        <v>1905.183</v>
      </c>
      <c r="AD244" s="419">
        <v>1522.4360999999999</v>
      </c>
      <c r="AE244" s="419">
        <v>293.53309999999999</v>
      </c>
      <c r="AF244" s="420">
        <v>0.24249999999999999</v>
      </c>
      <c r="AG244" s="370"/>
    </row>
    <row r="245" spans="1:33">
      <c r="A245" s="370"/>
      <c r="B245" s="406">
        <f t="shared" si="4"/>
        <v>240</v>
      </c>
      <c r="C245" s="407">
        <v>-0.1502</v>
      </c>
      <c r="D245" s="407">
        <v>-1.8E-3</v>
      </c>
      <c r="E245" s="407">
        <v>0.3523</v>
      </c>
      <c r="F245" s="407">
        <v>-1.3899999999999999E-2</v>
      </c>
      <c r="G245" s="407">
        <v>4.4000000000000003E-3</v>
      </c>
      <c r="H245" s="409">
        <v>6.4000000000000003E-3</v>
      </c>
      <c r="I245" s="409">
        <v>-8.9999999999999993E-3</v>
      </c>
      <c r="J245" s="407">
        <v>-8.9999999999999998E-4</v>
      </c>
      <c r="K245" s="410">
        <v>-1.6580999999999999</v>
      </c>
      <c r="L245" s="422">
        <v>-1.7299999999999999E-2</v>
      </c>
      <c r="M245" s="412">
        <v>8.3499999999999998E-3</v>
      </c>
      <c r="N245" s="413">
        <v>6.9999999999999994E-5</v>
      </c>
      <c r="O245" s="415">
        <v>-5.4462000000000002</v>
      </c>
      <c r="P245" s="415">
        <v>-1.1032999999999999</v>
      </c>
      <c r="Q245" s="415">
        <v>-0.57010000000000005</v>
      </c>
      <c r="R245" s="415">
        <v>-0.185</v>
      </c>
      <c r="S245" s="415">
        <v>0.1603</v>
      </c>
      <c r="T245" s="415">
        <v>9.9000000000000005E-2</v>
      </c>
      <c r="U245" s="415">
        <v>-5.0900000000000001E-2</v>
      </c>
      <c r="V245" s="415">
        <v>-4.9399999999999999E-2</v>
      </c>
      <c r="W245" s="415">
        <v>-4.6199999999999998E-2</v>
      </c>
      <c r="X245" s="416">
        <v>-4.4410999999999996</v>
      </c>
      <c r="Y245" s="418">
        <v>-0.24299999999999999</v>
      </c>
      <c r="Z245" s="418">
        <v>-0.24049999999999999</v>
      </c>
      <c r="AA245" s="418">
        <v>-0.15</v>
      </c>
      <c r="AB245" s="419">
        <v>10452.6775</v>
      </c>
      <c r="AC245" s="419">
        <v>1849.5554999999999</v>
      </c>
      <c r="AD245" s="419">
        <v>1477.9839999999999</v>
      </c>
      <c r="AE245" s="419">
        <v>284.96249999999998</v>
      </c>
      <c r="AF245" s="420">
        <v>0.25</v>
      </c>
      <c r="AG245" s="370"/>
    </row>
    <row r="246" spans="1:33">
      <c r="A246" s="370"/>
      <c r="B246" s="406">
        <f t="shared" si="4"/>
        <v>241</v>
      </c>
      <c r="C246" s="407">
        <v>-0.1517</v>
      </c>
      <c r="D246" s="407">
        <v>-1.8E-3</v>
      </c>
      <c r="E246" s="407">
        <v>0.35580000000000001</v>
      </c>
      <c r="F246" s="407">
        <v>-1.41E-2</v>
      </c>
      <c r="G246" s="407">
        <v>4.4999999999999997E-3</v>
      </c>
      <c r="H246" s="409">
        <v>6.4999999999999997E-3</v>
      </c>
      <c r="I246" s="409">
        <v>-9.1000000000000004E-3</v>
      </c>
      <c r="J246" s="407">
        <v>-8.9999999999999998E-4</v>
      </c>
      <c r="K246" s="410">
        <v>-1.6745000000000001</v>
      </c>
      <c r="L246" s="411">
        <v>-1.7500000000000002E-2</v>
      </c>
      <c r="M246" s="412">
        <v>8.0999999999999996E-3</v>
      </c>
      <c r="N246" s="413">
        <v>6.9999999999999994E-5</v>
      </c>
      <c r="O246" s="415">
        <v>-5.5003000000000002</v>
      </c>
      <c r="P246" s="415">
        <v>-1.1143000000000001</v>
      </c>
      <c r="Q246" s="424">
        <v>-0.57579999999999998</v>
      </c>
      <c r="R246" s="415">
        <v>-0.18679999999999999</v>
      </c>
      <c r="S246" s="415">
        <v>0.16189999999999999</v>
      </c>
      <c r="T246" s="415">
        <v>0.1</v>
      </c>
      <c r="U246" s="415">
        <v>-5.1400000000000001E-2</v>
      </c>
      <c r="V246" s="415">
        <v>-4.99E-2</v>
      </c>
      <c r="W246" s="415">
        <v>-4.6600000000000003E-2</v>
      </c>
      <c r="X246" s="416">
        <v>-4.4851999999999999</v>
      </c>
      <c r="Y246" s="418">
        <v>-0.24540000000000001</v>
      </c>
      <c r="Z246" s="418">
        <v>-0.2429</v>
      </c>
      <c r="AA246" s="418">
        <v>-0.1515</v>
      </c>
      <c r="AB246" s="419">
        <v>10135.117200000001</v>
      </c>
      <c r="AC246" s="419">
        <v>1793.3646000000001</v>
      </c>
      <c r="AD246" s="419">
        <v>1433.0817</v>
      </c>
      <c r="AE246" s="419">
        <v>276.30509999999998</v>
      </c>
      <c r="AF246" s="420">
        <v>0.2576</v>
      </c>
      <c r="AG246" s="370"/>
    </row>
    <row r="247" spans="1:33">
      <c r="A247" s="370"/>
      <c r="B247" s="406">
        <f t="shared" si="4"/>
        <v>242</v>
      </c>
      <c r="C247" s="407">
        <v>-0.15310000000000001</v>
      </c>
      <c r="D247" s="407">
        <v>-1.9E-3</v>
      </c>
      <c r="E247" s="407">
        <v>0.35920000000000002</v>
      </c>
      <c r="F247" s="407">
        <v>-1.4200000000000001E-2</v>
      </c>
      <c r="G247" s="407">
        <v>4.4999999999999997E-3</v>
      </c>
      <c r="H247" s="409">
        <v>6.4999999999999997E-3</v>
      </c>
      <c r="I247" s="409">
        <v>-9.1999999999999998E-3</v>
      </c>
      <c r="J247" s="407">
        <v>-8.9999999999999998E-4</v>
      </c>
      <c r="K247" s="410">
        <v>-1.6904999999999999</v>
      </c>
      <c r="L247" s="411">
        <v>-1.77E-2</v>
      </c>
      <c r="M247" s="412">
        <v>7.8399999999999997E-3</v>
      </c>
      <c r="N247" s="413">
        <v>6.9999999999999994E-5</v>
      </c>
      <c r="O247" s="415">
        <v>-5.5526999999999997</v>
      </c>
      <c r="P247" s="415">
        <v>-1.1249</v>
      </c>
      <c r="Q247" s="415">
        <v>-0.58130000000000004</v>
      </c>
      <c r="R247" s="415">
        <v>-0.18859999999999999</v>
      </c>
      <c r="S247" s="415">
        <v>0.16339999999999999</v>
      </c>
      <c r="T247" s="415">
        <v>0.1009</v>
      </c>
      <c r="U247" s="415">
        <v>-5.1900000000000002E-2</v>
      </c>
      <c r="V247" s="415">
        <v>-5.04E-2</v>
      </c>
      <c r="W247" s="415">
        <v>-4.7100000000000003E-2</v>
      </c>
      <c r="X247" s="416">
        <v>-4.5278999999999998</v>
      </c>
      <c r="Y247" s="418">
        <v>-0.24779999999999999</v>
      </c>
      <c r="Z247" s="418">
        <v>-0.2452</v>
      </c>
      <c r="AA247" s="418">
        <v>-0.153</v>
      </c>
      <c r="AB247" s="419">
        <v>9814.4696999999996</v>
      </c>
      <c r="AC247" s="419">
        <v>1736.6274000000001</v>
      </c>
      <c r="AD247" s="419">
        <v>1387.7429</v>
      </c>
      <c r="AE247" s="419">
        <v>267.56360000000001</v>
      </c>
      <c r="AF247" s="420">
        <v>0.26529999999999998</v>
      </c>
      <c r="AG247" s="370"/>
    </row>
    <row r="248" spans="1:33">
      <c r="A248" s="370"/>
      <c r="B248" s="406">
        <f t="shared" si="4"/>
        <v>243</v>
      </c>
      <c r="C248" s="407">
        <v>-0.1545</v>
      </c>
      <c r="D248" s="407">
        <v>-1.9E-3</v>
      </c>
      <c r="E248" s="407">
        <v>0.36249999999999999</v>
      </c>
      <c r="F248" s="407">
        <v>-1.43E-2</v>
      </c>
      <c r="G248" s="407">
        <v>4.4999999999999997E-3</v>
      </c>
      <c r="H248" s="409">
        <v>6.6E-3</v>
      </c>
      <c r="I248" s="409">
        <v>-9.2999999999999992E-3</v>
      </c>
      <c r="J248" s="407">
        <v>-8.9999999999999998E-4</v>
      </c>
      <c r="K248" s="410">
        <v>-1.7059</v>
      </c>
      <c r="L248" s="422">
        <v>-1.78E-2</v>
      </c>
      <c r="M248" s="412">
        <v>7.5799999999999999E-3</v>
      </c>
      <c r="N248" s="413">
        <v>6.0000000000000002E-5</v>
      </c>
      <c r="O248" s="415">
        <v>-5.6032999999999999</v>
      </c>
      <c r="P248" s="415">
        <v>-1.1352</v>
      </c>
      <c r="Q248" s="415">
        <v>-0.58660000000000001</v>
      </c>
      <c r="R248" s="415">
        <v>-0.1903</v>
      </c>
      <c r="S248" s="415">
        <v>0.16489999999999999</v>
      </c>
      <c r="T248" s="415">
        <v>0.1019</v>
      </c>
      <c r="U248" s="415">
        <v>-5.2400000000000002E-2</v>
      </c>
      <c r="V248" s="415">
        <v>-5.0799999999999998E-2</v>
      </c>
      <c r="W248" s="415">
        <v>-4.7500000000000001E-2</v>
      </c>
      <c r="X248" s="416">
        <v>-4.5692000000000004</v>
      </c>
      <c r="Y248" s="418">
        <v>-0.25</v>
      </c>
      <c r="Z248" s="418">
        <v>-0.24740000000000001</v>
      </c>
      <c r="AA248" s="418">
        <v>-0.15440000000000001</v>
      </c>
      <c r="AB248" s="419">
        <v>9490.8325999999997</v>
      </c>
      <c r="AC248" s="419">
        <v>1679.3613</v>
      </c>
      <c r="AD248" s="419">
        <v>1341.9813999999999</v>
      </c>
      <c r="AE248" s="419">
        <v>258.7405</v>
      </c>
      <c r="AF248" s="420">
        <v>0.27300000000000002</v>
      </c>
      <c r="AG248" s="370"/>
    </row>
    <row r="249" spans="1:33">
      <c r="A249" s="370"/>
      <c r="B249" s="406">
        <f t="shared" si="4"/>
        <v>244</v>
      </c>
      <c r="C249" s="407">
        <v>-0.15590000000000001</v>
      </c>
      <c r="D249" s="407">
        <v>-1.9E-3</v>
      </c>
      <c r="E249" s="407">
        <v>0.36559999999999998</v>
      </c>
      <c r="F249" s="407">
        <v>-1.4500000000000001E-2</v>
      </c>
      <c r="G249" s="407">
        <v>4.5999999999999999E-3</v>
      </c>
      <c r="H249" s="409">
        <v>6.7000000000000002E-3</v>
      </c>
      <c r="I249" s="409">
        <v>-9.2999999999999992E-3</v>
      </c>
      <c r="J249" s="407">
        <v>-8.9999999999999998E-4</v>
      </c>
      <c r="K249" s="410">
        <v>-1.7208000000000001</v>
      </c>
      <c r="L249" s="422">
        <v>-1.7999999999999999E-2</v>
      </c>
      <c r="M249" s="412">
        <v>7.3200000000000001E-3</v>
      </c>
      <c r="N249" s="413">
        <v>6.0000000000000002E-5</v>
      </c>
      <c r="O249" s="415">
        <v>-5.6523000000000003</v>
      </c>
      <c r="P249" s="415">
        <v>-1.1451</v>
      </c>
      <c r="Q249" s="415">
        <v>-0.5917</v>
      </c>
      <c r="R249" s="415">
        <v>-0.192</v>
      </c>
      <c r="S249" s="415">
        <v>0.16639999999999999</v>
      </c>
      <c r="T249" s="415">
        <v>0.1028</v>
      </c>
      <c r="U249" s="415">
        <v>-5.28E-2</v>
      </c>
      <c r="V249" s="415">
        <v>-5.1299999999999998E-2</v>
      </c>
      <c r="W249" s="415">
        <v>-4.7899999999999998E-2</v>
      </c>
      <c r="X249" s="416">
        <v>-4.6092000000000004</v>
      </c>
      <c r="Y249" s="418">
        <v>-0.25219999999999998</v>
      </c>
      <c r="Z249" s="418">
        <v>-0.24959999999999999</v>
      </c>
      <c r="AA249" s="418">
        <v>-0.15570000000000001</v>
      </c>
      <c r="AB249" s="419">
        <v>9164.3044000000009</v>
      </c>
      <c r="AC249" s="419">
        <v>1621.5835</v>
      </c>
      <c r="AD249" s="419">
        <v>1295.8110999999999</v>
      </c>
      <c r="AE249" s="419">
        <v>249.83869999999999</v>
      </c>
      <c r="AF249" s="420">
        <v>0.28079999999999999</v>
      </c>
      <c r="AG249" s="370"/>
    </row>
    <row r="250" spans="1:33">
      <c r="A250" s="370"/>
      <c r="B250" s="406">
        <f t="shared" si="4"/>
        <v>245</v>
      </c>
      <c r="C250" s="407">
        <v>-0.15720000000000001</v>
      </c>
      <c r="D250" s="407">
        <v>-1.9E-3</v>
      </c>
      <c r="E250" s="407">
        <v>0.36870000000000003</v>
      </c>
      <c r="F250" s="407">
        <v>-1.46E-2</v>
      </c>
      <c r="G250" s="407">
        <v>4.5999999999999999E-3</v>
      </c>
      <c r="H250" s="409">
        <v>6.7000000000000002E-3</v>
      </c>
      <c r="I250" s="409">
        <v>-9.4000000000000004E-3</v>
      </c>
      <c r="J250" s="407">
        <v>-8.9999999999999998E-4</v>
      </c>
      <c r="K250" s="410">
        <v>-1.7352000000000001</v>
      </c>
      <c r="L250" s="422">
        <v>-1.8100000000000002E-2</v>
      </c>
      <c r="M250" s="412">
        <v>7.0600000000000003E-3</v>
      </c>
      <c r="N250" s="413">
        <v>6.0000000000000002E-5</v>
      </c>
      <c r="O250" s="415">
        <v>-5.6996000000000002</v>
      </c>
      <c r="P250" s="415">
        <v>-1.1547000000000001</v>
      </c>
      <c r="Q250" s="415">
        <v>-0.59660000000000002</v>
      </c>
      <c r="R250" s="415">
        <v>-0.19359999999999999</v>
      </c>
      <c r="S250" s="415">
        <v>0.1678</v>
      </c>
      <c r="T250" s="415">
        <v>0.1036</v>
      </c>
      <c r="U250" s="415">
        <v>-5.33E-2</v>
      </c>
      <c r="V250" s="415">
        <v>-5.1700000000000003E-2</v>
      </c>
      <c r="W250" s="415">
        <v>-4.8300000000000003E-2</v>
      </c>
      <c r="X250" s="416">
        <v>-4.6477000000000004</v>
      </c>
      <c r="Y250" s="418">
        <v>-0.25430000000000003</v>
      </c>
      <c r="Z250" s="418">
        <v>-0.25169999999999998</v>
      </c>
      <c r="AA250" s="418">
        <v>-0.157</v>
      </c>
      <c r="AB250" s="419">
        <v>8834.9848000000002</v>
      </c>
      <c r="AC250" s="419">
        <v>1563.3118999999999</v>
      </c>
      <c r="AD250" s="419">
        <v>1249.2461000000001</v>
      </c>
      <c r="AE250" s="419">
        <v>240.86070000000001</v>
      </c>
      <c r="AF250" s="420">
        <v>0.28870000000000001</v>
      </c>
      <c r="AG250" s="370"/>
    </row>
    <row r="251" spans="1:33">
      <c r="A251" s="370"/>
      <c r="B251" s="406">
        <f t="shared" si="4"/>
        <v>246</v>
      </c>
      <c r="C251" s="407">
        <v>-0.15840000000000001</v>
      </c>
      <c r="D251" s="407">
        <v>-1.9E-3</v>
      </c>
      <c r="E251" s="407">
        <v>0.37159999999999999</v>
      </c>
      <c r="F251" s="407">
        <v>-1.47E-2</v>
      </c>
      <c r="G251" s="407">
        <v>4.7000000000000002E-3</v>
      </c>
      <c r="H251" s="409">
        <v>6.7999999999999996E-3</v>
      </c>
      <c r="I251" s="409">
        <v>-9.4999999999999998E-3</v>
      </c>
      <c r="J251" s="407">
        <v>-8.9999999999999998E-4</v>
      </c>
      <c r="K251" s="410">
        <v>-1.7491000000000001</v>
      </c>
      <c r="L251" s="422">
        <v>-1.83E-2</v>
      </c>
      <c r="M251" s="412">
        <v>6.79E-3</v>
      </c>
      <c r="N251" s="413">
        <v>6.0000000000000002E-5</v>
      </c>
      <c r="O251" s="415">
        <v>-5.7450999999999999</v>
      </c>
      <c r="P251" s="415">
        <v>-1.1638999999999999</v>
      </c>
      <c r="Q251" s="415">
        <v>-0.60140000000000005</v>
      </c>
      <c r="R251" s="415">
        <v>-0.1951</v>
      </c>
      <c r="S251" s="415">
        <v>0.1691</v>
      </c>
      <c r="T251" s="415">
        <v>0.10440000000000001</v>
      </c>
      <c r="U251" s="415">
        <v>-5.3699999999999998E-2</v>
      </c>
      <c r="V251" s="415">
        <v>-5.21E-2</v>
      </c>
      <c r="W251" s="415">
        <v>-4.87E-2</v>
      </c>
      <c r="X251" s="416">
        <v>-4.6848000000000001</v>
      </c>
      <c r="Y251" s="418">
        <v>-0.25629999999999997</v>
      </c>
      <c r="Z251" s="418">
        <v>-0.25369999999999998</v>
      </c>
      <c r="AA251" s="418">
        <v>-0.1583</v>
      </c>
      <c r="AB251" s="419">
        <v>8502.9739000000009</v>
      </c>
      <c r="AC251" s="419">
        <v>1504.5640000000001</v>
      </c>
      <c r="AD251" s="419">
        <v>1202.3005000000001</v>
      </c>
      <c r="AE251" s="419">
        <v>231.80940000000001</v>
      </c>
      <c r="AF251" s="420">
        <v>0.29659999999999997</v>
      </c>
      <c r="AG251" s="370"/>
    </row>
    <row r="252" spans="1:33">
      <c r="A252" s="370"/>
      <c r="B252" s="406">
        <f t="shared" si="4"/>
        <v>247</v>
      </c>
      <c r="C252" s="407">
        <v>-0.15959999999999999</v>
      </c>
      <c r="D252" s="407">
        <v>-1.9E-3</v>
      </c>
      <c r="E252" s="407">
        <v>0.3745</v>
      </c>
      <c r="F252" s="407">
        <v>-1.4800000000000001E-2</v>
      </c>
      <c r="G252" s="407">
        <v>4.7000000000000002E-3</v>
      </c>
      <c r="H252" s="409">
        <v>6.7999999999999996E-3</v>
      </c>
      <c r="I252" s="409">
        <v>-9.5999999999999992E-3</v>
      </c>
      <c r="J252" s="407">
        <v>-8.9999999999999998E-4</v>
      </c>
      <c r="K252" s="410">
        <v>-1.7624</v>
      </c>
      <c r="L252" s="422">
        <v>-1.84E-2</v>
      </c>
      <c r="M252" s="412">
        <v>6.5300000000000002E-3</v>
      </c>
      <c r="N252" s="413">
        <v>5.0000000000000002E-5</v>
      </c>
      <c r="O252" s="415">
        <v>-5.7888000000000002</v>
      </c>
      <c r="P252" s="415">
        <v>-1.1727000000000001</v>
      </c>
      <c r="Q252" s="415">
        <v>-0.60599999999999998</v>
      </c>
      <c r="R252" s="415">
        <v>-0.1966</v>
      </c>
      <c r="S252" s="415">
        <v>0.1704</v>
      </c>
      <c r="T252" s="415">
        <v>0.1052</v>
      </c>
      <c r="U252" s="415">
        <v>-5.4100000000000002E-2</v>
      </c>
      <c r="V252" s="415">
        <v>-5.2499999999999998E-2</v>
      </c>
      <c r="W252" s="415">
        <v>-4.9099999999999998E-2</v>
      </c>
      <c r="X252" s="416">
        <v>-4.7205000000000004</v>
      </c>
      <c r="Y252" s="418">
        <v>-0.25829999999999997</v>
      </c>
      <c r="Z252" s="418">
        <v>-0.25559999999999999</v>
      </c>
      <c r="AA252" s="418">
        <v>-0.1595</v>
      </c>
      <c r="AB252" s="419">
        <v>8168.3729999999996</v>
      </c>
      <c r="AC252" s="419">
        <v>1445.3578</v>
      </c>
      <c r="AD252" s="419">
        <v>1154.9887000000001</v>
      </c>
      <c r="AE252" s="419">
        <v>222.6874</v>
      </c>
      <c r="AF252" s="420">
        <v>0.30459999999999998</v>
      </c>
      <c r="AG252" s="370"/>
    </row>
    <row r="253" spans="1:33">
      <c r="A253" s="370"/>
      <c r="B253" s="406">
        <f t="shared" si="4"/>
        <v>248</v>
      </c>
      <c r="C253" s="407">
        <v>-0.1608</v>
      </c>
      <c r="D253" s="407">
        <v>-1.9E-3</v>
      </c>
      <c r="E253" s="407">
        <v>0.37719999999999998</v>
      </c>
      <c r="F253" s="407">
        <v>-1.49E-2</v>
      </c>
      <c r="G253" s="407">
        <v>4.7000000000000002E-3</v>
      </c>
      <c r="H253" s="409">
        <v>6.8999999999999999E-3</v>
      </c>
      <c r="I253" s="409">
        <v>-9.5999999999999992E-3</v>
      </c>
      <c r="J253" s="407">
        <v>-8.9999999999999998E-4</v>
      </c>
      <c r="K253" s="410">
        <v>-1.7751999999999999</v>
      </c>
      <c r="L253" s="422">
        <v>-1.8499999999999999E-2</v>
      </c>
      <c r="M253" s="412">
        <v>6.2599999999999999E-3</v>
      </c>
      <c r="N253" s="413">
        <v>5.0000000000000002E-5</v>
      </c>
      <c r="O253" s="415">
        <v>-5.8308</v>
      </c>
      <c r="P253" s="415">
        <v>-1.1813</v>
      </c>
      <c r="Q253" s="415">
        <v>-0.61040000000000005</v>
      </c>
      <c r="R253" s="415">
        <v>-0.1981</v>
      </c>
      <c r="S253" s="415">
        <v>0.1716</v>
      </c>
      <c r="T253" s="415">
        <v>0.106</v>
      </c>
      <c r="U253" s="415">
        <v>-5.45E-2</v>
      </c>
      <c r="V253" s="415">
        <v>-5.2900000000000003E-2</v>
      </c>
      <c r="W253" s="415">
        <v>-4.9399999999999999E-2</v>
      </c>
      <c r="X253" s="416">
        <v>-4.7548000000000004</v>
      </c>
      <c r="Y253" s="418">
        <v>-0.26019999999999999</v>
      </c>
      <c r="Z253" s="418">
        <v>-0.25750000000000001</v>
      </c>
      <c r="AA253" s="418">
        <v>-0.16059999999999999</v>
      </c>
      <c r="AB253" s="419">
        <v>7831.2838000000002</v>
      </c>
      <c r="AC253" s="419">
        <v>1385.7113999999999</v>
      </c>
      <c r="AD253" s="419">
        <v>1107.3251</v>
      </c>
      <c r="AE253" s="419">
        <v>213.49770000000001</v>
      </c>
      <c r="AF253" s="420">
        <v>0.31269999999999998</v>
      </c>
      <c r="AG253" s="370"/>
    </row>
    <row r="254" spans="1:33">
      <c r="A254" s="370"/>
      <c r="B254" s="406">
        <f t="shared" si="4"/>
        <v>249</v>
      </c>
      <c r="C254" s="407">
        <v>-0.16189999999999999</v>
      </c>
      <c r="D254" s="407">
        <v>-2E-3</v>
      </c>
      <c r="E254" s="407">
        <v>0.37980000000000003</v>
      </c>
      <c r="F254" s="407">
        <v>-1.4999999999999999E-2</v>
      </c>
      <c r="G254" s="407">
        <v>4.7999999999999996E-3</v>
      </c>
      <c r="H254" s="409">
        <v>6.8999999999999999E-3</v>
      </c>
      <c r="I254" s="409">
        <v>-9.7000000000000003E-3</v>
      </c>
      <c r="J254" s="407">
        <v>-8.9999999999999998E-4</v>
      </c>
      <c r="K254" s="410">
        <v>-1.7874000000000001</v>
      </c>
      <c r="L254" s="422">
        <v>-1.8700000000000001E-2</v>
      </c>
      <c r="M254" s="412">
        <v>5.9800000000000001E-3</v>
      </c>
      <c r="N254" s="413">
        <v>5.0000000000000002E-5</v>
      </c>
      <c r="O254" s="415">
        <v>-5.8711000000000002</v>
      </c>
      <c r="P254" s="415">
        <v>-1.1894</v>
      </c>
      <c r="Q254" s="415">
        <v>-0.61460000000000004</v>
      </c>
      <c r="R254" s="415">
        <v>-0.19939999999999999</v>
      </c>
      <c r="S254" s="415">
        <v>0.17280000000000001</v>
      </c>
      <c r="T254" s="415">
        <v>0.1067</v>
      </c>
      <c r="U254" s="415">
        <v>-5.4899999999999997E-2</v>
      </c>
      <c r="V254" s="415">
        <v>-5.33E-2</v>
      </c>
      <c r="W254" s="415">
        <v>-4.9799999999999997E-2</v>
      </c>
      <c r="X254" s="416">
        <v>-4.7876000000000003</v>
      </c>
      <c r="Y254" s="418">
        <v>-0.26200000000000001</v>
      </c>
      <c r="Z254" s="418">
        <v>-0.25919999999999999</v>
      </c>
      <c r="AA254" s="418">
        <v>-0.16170000000000001</v>
      </c>
      <c r="AB254" s="419">
        <v>7491.8091999999997</v>
      </c>
      <c r="AC254" s="419">
        <v>1325.6428000000001</v>
      </c>
      <c r="AD254" s="419">
        <v>1059.3242</v>
      </c>
      <c r="AE254" s="419">
        <v>204.24289999999999</v>
      </c>
      <c r="AF254" s="420">
        <v>0.32079999999999997</v>
      </c>
      <c r="AG254" s="370"/>
    </row>
    <row r="255" spans="1:33">
      <c r="A255" s="370"/>
      <c r="B255" s="406">
        <f t="shared" si="4"/>
        <v>250</v>
      </c>
      <c r="C255" s="407">
        <v>-0.16289999999999999</v>
      </c>
      <c r="D255" s="407">
        <v>-2E-3</v>
      </c>
      <c r="E255" s="407">
        <v>0.38229999999999997</v>
      </c>
      <c r="F255" s="407">
        <v>-1.5100000000000001E-2</v>
      </c>
      <c r="G255" s="407">
        <v>4.7999999999999996E-3</v>
      </c>
      <c r="H255" s="409">
        <v>7.0000000000000001E-3</v>
      </c>
      <c r="I255" s="409">
        <v>-9.7999999999999997E-3</v>
      </c>
      <c r="J255" s="407">
        <v>-8.9999999999999998E-4</v>
      </c>
      <c r="K255" s="410">
        <v>-1.7990999999999999</v>
      </c>
      <c r="L255" s="422">
        <v>-1.8800000000000001E-2</v>
      </c>
      <c r="M255" s="412">
        <v>5.7099999999999998E-3</v>
      </c>
      <c r="N255" s="413">
        <v>5.0000000000000002E-5</v>
      </c>
      <c r="O255" s="415">
        <v>-5.9095000000000004</v>
      </c>
      <c r="P255" s="415">
        <v>-1.1972</v>
      </c>
      <c r="Q255" s="415">
        <v>-0.61860000000000004</v>
      </c>
      <c r="R255" s="415">
        <v>-0.20069999999999999</v>
      </c>
      <c r="S255" s="415">
        <v>0.17399999999999999</v>
      </c>
      <c r="T255" s="415">
        <v>0.1074</v>
      </c>
      <c r="U255" s="415">
        <v>-5.5199999999999999E-2</v>
      </c>
      <c r="V255" s="415">
        <v>-5.3600000000000002E-2</v>
      </c>
      <c r="W255" s="415">
        <v>-5.0099999999999999E-2</v>
      </c>
      <c r="X255" s="416">
        <v>-4.8189000000000002</v>
      </c>
      <c r="Y255" s="418">
        <v>-0.26369999999999999</v>
      </c>
      <c r="Z255" s="418">
        <v>-0.26090000000000002</v>
      </c>
      <c r="AA255" s="418">
        <v>-0.1628</v>
      </c>
      <c r="AB255" s="419">
        <v>7150.0524999999998</v>
      </c>
      <c r="AC255" s="419">
        <v>1265.1704999999999</v>
      </c>
      <c r="AD255" s="419">
        <v>1011.0006</v>
      </c>
      <c r="AE255" s="419">
        <v>194.92580000000001</v>
      </c>
      <c r="AF255" s="420">
        <v>0.32900000000000001</v>
      </c>
      <c r="AG255" s="370"/>
    </row>
    <row r="256" spans="1:33">
      <c r="A256" s="370"/>
      <c r="B256" s="406">
        <f t="shared" si="4"/>
        <v>251</v>
      </c>
      <c r="C256" s="407">
        <v>-0.16400000000000001</v>
      </c>
      <c r="D256" s="407">
        <v>-2E-3</v>
      </c>
      <c r="E256" s="407">
        <v>0.3846</v>
      </c>
      <c r="F256" s="407">
        <v>-1.52E-2</v>
      </c>
      <c r="G256" s="407">
        <v>4.7999999999999996E-3</v>
      </c>
      <c r="H256" s="409">
        <v>7.0000000000000001E-3</v>
      </c>
      <c r="I256" s="409">
        <v>-9.7999999999999997E-3</v>
      </c>
      <c r="J256" s="407">
        <v>-8.9999999999999998E-4</v>
      </c>
      <c r="K256" s="410">
        <v>-1.8103</v>
      </c>
      <c r="L256" s="422">
        <v>-1.89E-2</v>
      </c>
      <c r="M256" s="412">
        <v>5.4400000000000004E-3</v>
      </c>
      <c r="N256" s="413">
        <v>5.0000000000000002E-5</v>
      </c>
      <c r="O256" s="415">
        <v>-5.9462000000000002</v>
      </c>
      <c r="P256" s="415">
        <v>-1.2045999999999999</v>
      </c>
      <c r="Q256" s="415">
        <v>-0.62239999999999995</v>
      </c>
      <c r="R256" s="415">
        <v>-0.20200000000000001</v>
      </c>
      <c r="S256" s="415">
        <v>0.17499999999999999</v>
      </c>
      <c r="T256" s="415">
        <v>0.1081</v>
      </c>
      <c r="U256" s="415">
        <v>-5.5599999999999997E-2</v>
      </c>
      <c r="V256" s="415">
        <v>-5.3999999999999999E-2</v>
      </c>
      <c r="W256" s="415">
        <v>-5.04E-2</v>
      </c>
      <c r="X256" s="416">
        <v>-4.8487999999999998</v>
      </c>
      <c r="Y256" s="418">
        <v>-0.26529999999999998</v>
      </c>
      <c r="Z256" s="418">
        <v>-0.2626</v>
      </c>
      <c r="AA256" s="418">
        <v>-0.1638</v>
      </c>
      <c r="AB256" s="419">
        <v>6806.1178</v>
      </c>
      <c r="AC256" s="419">
        <v>1204.3126999999999</v>
      </c>
      <c r="AD256" s="419">
        <v>962.36900000000003</v>
      </c>
      <c r="AE256" s="419">
        <v>185.54939999999999</v>
      </c>
      <c r="AF256" s="420">
        <v>0.3372</v>
      </c>
      <c r="AG256" s="370"/>
    </row>
    <row r="257" spans="1:33">
      <c r="A257" s="370"/>
      <c r="B257" s="406">
        <f t="shared" si="4"/>
        <v>252</v>
      </c>
      <c r="C257" s="407">
        <v>-0.16489999999999999</v>
      </c>
      <c r="D257" s="407">
        <v>-2E-3</v>
      </c>
      <c r="E257" s="407">
        <v>0.38690000000000002</v>
      </c>
      <c r="F257" s="407">
        <v>-1.5299999999999999E-2</v>
      </c>
      <c r="G257" s="407">
        <v>4.8999999999999998E-3</v>
      </c>
      <c r="H257" s="409">
        <v>7.0000000000000001E-3</v>
      </c>
      <c r="I257" s="409">
        <v>-9.9000000000000008E-3</v>
      </c>
      <c r="J257" s="407">
        <v>-1E-3</v>
      </c>
      <c r="K257" s="410">
        <v>-1.8209</v>
      </c>
      <c r="L257" s="422">
        <v>-1.9E-2</v>
      </c>
      <c r="M257" s="412">
        <v>5.1599999999999997E-3</v>
      </c>
      <c r="N257" s="413">
        <v>4.0000000000000003E-5</v>
      </c>
      <c r="O257" s="415">
        <v>-5.9809999999999999</v>
      </c>
      <c r="P257" s="415">
        <v>-1.2117</v>
      </c>
      <c r="Q257" s="415">
        <v>-0.62609999999999999</v>
      </c>
      <c r="R257" s="415">
        <v>-0.20319999999999999</v>
      </c>
      <c r="S257" s="415">
        <v>0.17610000000000001</v>
      </c>
      <c r="T257" s="415">
        <v>0.1087</v>
      </c>
      <c r="U257" s="415">
        <v>-5.5899999999999998E-2</v>
      </c>
      <c r="V257" s="415">
        <v>-5.4300000000000001E-2</v>
      </c>
      <c r="W257" s="415">
        <v>-5.0700000000000002E-2</v>
      </c>
      <c r="X257" s="416">
        <v>-4.8772000000000002</v>
      </c>
      <c r="Y257" s="418">
        <v>-0.26690000000000003</v>
      </c>
      <c r="Z257" s="418">
        <v>-0.2641</v>
      </c>
      <c r="AA257" s="418">
        <v>-0.1648</v>
      </c>
      <c r="AB257" s="419">
        <v>6460.11</v>
      </c>
      <c r="AC257" s="419">
        <v>1143.0881999999999</v>
      </c>
      <c r="AD257" s="419">
        <v>913.4443</v>
      </c>
      <c r="AE257" s="419">
        <v>176.1165</v>
      </c>
      <c r="AF257" s="420">
        <v>0.34549999999999997</v>
      </c>
      <c r="AG257" s="370"/>
    </row>
    <row r="258" spans="1:33">
      <c r="A258" s="370"/>
      <c r="B258" s="406">
        <f t="shared" si="4"/>
        <v>253</v>
      </c>
      <c r="C258" s="407">
        <v>-0.1658</v>
      </c>
      <c r="D258" s="407">
        <v>-2E-3</v>
      </c>
      <c r="E258" s="407">
        <v>0.38900000000000001</v>
      </c>
      <c r="F258" s="407">
        <v>-1.54E-2</v>
      </c>
      <c r="G258" s="407">
        <v>4.8999999999999998E-3</v>
      </c>
      <c r="H258" s="409">
        <v>7.1000000000000004E-3</v>
      </c>
      <c r="I258" s="409">
        <v>-9.9000000000000008E-3</v>
      </c>
      <c r="J258" s="407">
        <v>-1E-3</v>
      </c>
      <c r="K258" s="410">
        <v>-1.8309</v>
      </c>
      <c r="L258" s="422">
        <v>-1.9099999999999999E-2</v>
      </c>
      <c r="M258" s="412">
        <v>4.8799999999999998E-3</v>
      </c>
      <c r="N258" s="413">
        <v>4.0000000000000003E-5</v>
      </c>
      <c r="O258" s="415">
        <v>-6.0140000000000002</v>
      </c>
      <c r="P258" s="415">
        <v>-1.2183999999999999</v>
      </c>
      <c r="Q258" s="415">
        <v>-0.62949999999999995</v>
      </c>
      <c r="R258" s="415">
        <v>-0.20430000000000001</v>
      </c>
      <c r="S258" s="415">
        <v>0.17699999999999999</v>
      </c>
      <c r="T258" s="415">
        <v>0.10929999999999999</v>
      </c>
      <c r="U258" s="415">
        <v>-5.62E-2</v>
      </c>
      <c r="V258" s="415">
        <v>-5.4600000000000003E-2</v>
      </c>
      <c r="W258" s="415">
        <v>-5.0999999999999997E-2</v>
      </c>
      <c r="X258" s="416">
        <v>-4.9040999999999997</v>
      </c>
      <c r="Y258" s="418">
        <v>-0.26829999999999998</v>
      </c>
      <c r="Z258" s="418">
        <v>-0.2656</v>
      </c>
      <c r="AA258" s="418">
        <v>-0.16569999999999999</v>
      </c>
      <c r="AB258" s="419">
        <v>6112.1342999999997</v>
      </c>
      <c r="AC258" s="419">
        <v>1081.5154</v>
      </c>
      <c r="AD258" s="419">
        <v>864.2414</v>
      </c>
      <c r="AE258" s="419">
        <v>166.62989999999999</v>
      </c>
      <c r="AF258" s="420">
        <v>0.3538</v>
      </c>
      <c r="AG258" s="370"/>
    </row>
    <row r="259" spans="1:33">
      <c r="A259" s="370"/>
      <c r="B259" s="406">
        <f t="shared" si="4"/>
        <v>254</v>
      </c>
      <c r="C259" s="407">
        <v>-0.16669999999999999</v>
      </c>
      <c r="D259" s="407">
        <v>-2E-3</v>
      </c>
      <c r="E259" s="407">
        <v>0.39100000000000001</v>
      </c>
      <c r="F259" s="407">
        <v>-1.55E-2</v>
      </c>
      <c r="G259" s="407">
        <v>4.8999999999999998E-3</v>
      </c>
      <c r="H259" s="409">
        <v>7.1000000000000004E-3</v>
      </c>
      <c r="I259" s="409">
        <v>-0.01</v>
      </c>
      <c r="J259" s="407">
        <v>-1E-3</v>
      </c>
      <c r="K259" s="410">
        <v>-1.8404</v>
      </c>
      <c r="L259" s="422">
        <v>-1.9199999999999998E-2</v>
      </c>
      <c r="M259" s="412">
        <v>4.5999999999999999E-3</v>
      </c>
      <c r="N259" s="413">
        <v>4.0000000000000003E-5</v>
      </c>
      <c r="O259" s="415">
        <v>-6.0452000000000004</v>
      </c>
      <c r="P259" s="415">
        <v>-1.2246999999999999</v>
      </c>
      <c r="Q259" s="415">
        <v>-0.63280000000000003</v>
      </c>
      <c r="R259" s="415">
        <v>-0.20530000000000001</v>
      </c>
      <c r="S259" s="415">
        <v>0.1779</v>
      </c>
      <c r="T259" s="415">
        <v>0.1099</v>
      </c>
      <c r="U259" s="415">
        <v>-5.6500000000000002E-2</v>
      </c>
      <c r="V259" s="415">
        <v>-5.4899999999999997E-2</v>
      </c>
      <c r="W259" s="415">
        <v>-5.1299999999999998E-2</v>
      </c>
      <c r="X259" s="416">
        <v>-4.9295</v>
      </c>
      <c r="Y259" s="418">
        <v>-0.2697</v>
      </c>
      <c r="Z259" s="418">
        <v>-0.26690000000000003</v>
      </c>
      <c r="AA259" s="418">
        <v>-0.16650000000000001</v>
      </c>
      <c r="AB259" s="419">
        <v>5762.2968000000001</v>
      </c>
      <c r="AC259" s="419">
        <v>1019.6132</v>
      </c>
      <c r="AD259" s="419">
        <v>814.77520000000004</v>
      </c>
      <c r="AE259" s="419">
        <v>157.0926</v>
      </c>
      <c r="AF259" s="420">
        <v>0.36220000000000002</v>
      </c>
      <c r="AG259" s="370"/>
    </row>
    <row r="260" spans="1:33">
      <c r="A260" s="370"/>
      <c r="B260" s="406">
        <f t="shared" si="4"/>
        <v>255</v>
      </c>
      <c r="C260" s="407">
        <v>-0.16750000000000001</v>
      </c>
      <c r="D260" s="407">
        <v>-2E-3</v>
      </c>
      <c r="E260" s="407">
        <v>0.39290000000000003</v>
      </c>
      <c r="F260" s="407">
        <v>-1.5599999999999999E-2</v>
      </c>
      <c r="G260" s="407">
        <v>4.8999999999999998E-3</v>
      </c>
      <c r="H260" s="409">
        <v>7.1000000000000004E-3</v>
      </c>
      <c r="I260" s="409">
        <v>-0.01</v>
      </c>
      <c r="J260" s="407">
        <v>-1E-3</v>
      </c>
      <c r="K260" s="410">
        <v>-1.8493999999999999</v>
      </c>
      <c r="L260" s="422">
        <v>-1.9300000000000001E-2</v>
      </c>
      <c r="M260" s="412">
        <v>4.3200000000000001E-3</v>
      </c>
      <c r="N260" s="413">
        <v>4.0000000000000003E-5</v>
      </c>
      <c r="O260" s="415">
        <v>-6.0744999999999996</v>
      </c>
      <c r="P260" s="415">
        <v>-1.2305999999999999</v>
      </c>
      <c r="Q260" s="415">
        <v>-0.63590000000000002</v>
      </c>
      <c r="R260" s="415">
        <v>-0.20630000000000001</v>
      </c>
      <c r="S260" s="415">
        <v>0.17879999999999999</v>
      </c>
      <c r="T260" s="415">
        <v>0.1104</v>
      </c>
      <c r="U260" s="415">
        <v>-5.6800000000000003E-2</v>
      </c>
      <c r="V260" s="415">
        <v>-5.5100000000000003E-2</v>
      </c>
      <c r="W260" s="415">
        <v>-5.1499999999999997E-2</v>
      </c>
      <c r="X260" s="416">
        <v>-4.9535</v>
      </c>
      <c r="Y260" s="418">
        <v>-0.27100000000000002</v>
      </c>
      <c r="Z260" s="418">
        <v>-0.26819999999999999</v>
      </c>
      <c r="AA260" s="418">
        <v>-0.1673</v>
      </c>
      <c r="AB260" s="419">
        <v>5410.7039999999997</v>
      </c>
      <c r="AC260" s="419">
        <v>957.40039999999999</v>
      </c>
      <c r="AD260" s="419">
        <v>765.06079999999997</v>
      </c>
      <c r="AE260" s="419">
        <v>147.50739999999999</v>
      </c>
      <c r="AF260" s="420">
        <v>0.37059999999999998</v>
      </c>
      <c r="AG260" s="370"/>
    </row>
    <row r="261" spans="1:33">
      <c r="A261" s="370"/>
      <c r="B261" s="406">
        <f t="shared" si="4"/>
        <v>256</v>
      </c>
      <c r="C261" s="407">
        <v>-0.16819999999999999</v>
      </c>
      <c r="D261" s="407">
        <v>-2E-3</v>
      </c>
      <c r="E261" s="407">
        <v>0.3947</v>
      </c>
      <c r="F261" s="407">
        <v>-1.5599999999999999E-2</v>
      </c>
      <c r="G261" s="407">
        <v>4.8999999999999998E-3</v>
      </c>
      <c r="H261" s="409">
        <v>7.1999999999999998E-3</v>
      </c>
      <c r="I261" s="409">
        <v>-1.01E-2</v>
      </c>
      <c r="J261" s="407">
        <v>-1E-3</v>
      </c>
      <c r="K261" s="410">
        <v>-1.8576999999999999</v>
      </c>
      <c r="L261" s="422">
        <v>-1.9400000000000001E-2</v>
      </c>
      <c r="M261" s="412">
        <v>4.0400000000000002E-3</v>
      </c>
      <c r="N261" s="413">
        <v>3.0000000000000001E-5</v>
      </c>
      <c r="O261" s="415">
        <v>-6.1020000000000003</v>
      </c>
      <c r="P261" s="415">
        <v>-1.2362</v>
      </c>
      <c r="Q261" s="415">
        <v>-0.63880000000000003</v>
      </c>
      <c r="R261" s="415">
        <v>-0.20730000000000001</v>
      </c>
      <c r="S261" s="415">
        <v>0.17960000000000001</v>
      </c>
      <c r="T261" s="415">
        <v>0.1109</v>
      </c>
      <c r="U261" s="415">
        <v>-5.7000000000000002E-2</v>
      </c>
      <c r="V261" s="415">
        <v>-5.5399999999999998E-2</v>
      </c>
      <c r="W261" s="415">
        <v>-5.1700000000000003E-2</v>
      </c>
      <c r="X261" s="416">
        <v>-4.9759000000000002</v>
      </c>
      <c r="Y261" s="418">
        <v>-0.27229999999999999</v>
      </c>
      <c r="Z261" s="418">
        <v>-0.26939999999999997</v>
      </c>
      <c r="AA261" s="418">
        <v>-0.1681</v>
      </c>
      <c r="AB261" s="419">
        <v>5057.4630999999999</v>
      </c>
      <c r="AC261" s="419">
        <v>894.89589999999998</v>
      </c>
      <c r="AD261" s="419">
        <v>715.11339999999996</v>
      </c>
      <c r="AE261" s="419">
        <v>137.87729999999999</v>
      </c>
      <c r="AF261" s="420">
        <v>0.379</v>
      </c>
      <c r="AG261" s="370"/>
    </row>
    <row r="262" spans="1:33">
      <c r="A262" s="370"/>
      <c r="B262" s="406">
        <f t="shared" si="4"/>
        <v>257</v>
      </c>
      <c r="C262" s="407">
        <v>-0.16900000000000001</v>
      </c>
      <c r="D262" s="407">
        <v>-2E-3</v>
      </c>
      <c r="E262" s="407">
        <v>0.39639999999999997</v>
      </c>
      <c r="F262" s="407">
        <v>-1.5699999999999999E-2</v>
      </c>
      <c r="G262" s="407">
        <v>5.0000000000000001E-3</v>
      </c>
      <c r="H262" s="409">
        <v>7.1999999999999998E-3</v>
      </c>
      <c r="I262" s="409">
        <v>-1.01E-2</v>
      </c>
      <c r="J262" s="407">
        <v>-1E-3</v>
      </c>
      <c r="K262" s="410">
        <v>-1.8654999999999999</v>
      </c>
      <c r="L262" s="422">
        <v>-1.95E-2</v>
      </c>
      <c r="M262" s="412">
        <v>3.7599999999999999E-3</v>
      </c>
      <c r="N262" s="413">
        <v>3.0000000000000001E-5</v>
      </c>
      <c r="O262" s="415">
        <v>-6.1276000000000002</v>
      </c>
      <c r="P262" s="415">
        <v>-1.2414000000000001</v>
      </c>
      <c r="Q262" s="415">
        <v>-0.64139999999999997</v>
      </c>
      <c r="R262" s="415">
        <v>-0.20810000000000001</v>
      </c>
      <c r="S262" s="415">
        <v>0.1804</v>
      </c>
      <c r="T262" s="415">
        <v>0.1114</v>
      </c>
      <c r="U262" s="415">
        <v>-5.7299999999999997E-2</v>
      </c>
      <c r="V262" s="415">
        <v>-5.5599999999999997E-2</v>
      </c>
      <c r="W262" s="415">
        <v>-5.1999999999999998E-2</v>
      </c>
      <c r="X262" s="416">
        <v>-4.9968000000000004</v>
      </c>
      <c r="Y262" s="418">
        <v>-0.27339999999999998</v>
      </c>
      <c r="Z262" s="418">
        <v>-0.27060000000000001</v>
      </c>
      <c r="AA262" s="418">
        <v>-0.16880000000000001</v>
      </c>
      <c r="AB262" s="419">
        <v>4702.6815999999999</v>
      </c>
      <c r="AC262" s="419">
        <v>832.11890000000005</v>
      </c>
      <c r="AD262" s="419">
        <v>664.94809999999995</v>
      </c>
      <c r="AE262" s="419">
        <v>128.20519999999999</v>
      </c>
      <c r="AF262" s="420">
        <v>0.38750000000000001</v>
      </c>
      <c r="AG262" s="370"/>
    </row>
    <row r="263" spans="1:33">
      <c r="A263" s="370"/>
      <c r="B263" s="406">
        <f t="shared" si="4"/>
        <v>258</v>
      </c>
      <c r="C263" s="407">
        <v>-0.1696</v>
      </c>
      <c r="D263" s="407">
        <v>-2.0999999999999999E-3</v>
      </c>
      <c r="E263" s="407">
        <v>0.39789999999999998</v>
      </c>
      <c r="F263" s="407">
        <v>-1.5699999999999999E-2</v>
      </c>
      <c r="G263" s="407">
        <v>5.0000000000000001E-3</v>
      </c>
      <c r="H263" s="409">
        <v>7.1999999999999998E-3</v>
      </c>
      <c r="I263" s="409">
        <v>-1.0200000000000001E-2</v>
      </c>
      <c r="J263" s="407">
        <v>-1E-3</v>
      </c>
      <c r="K263" s="410">
        <v>-1.8728</v>
      </c>
      <c r="L263" s="422">
        <v>-1.9599999999999999E-2</v>
      </c>
      <c r="M263" s="412">
        <v>3.47E-3</v>
      </c>
      <c r="N263" s="413">
        <v>3.0000000000000001E-5</v>
      </c>
      <c r="O263" s="415">
        <v>-6.1513</v>
      </c>
      <c r="P263" s="415">
        <v>-1.2462</v>
      </c>
      <c r="Q263" s="415">
        <v>-0.64390000000000003</v>
      </c>
      <c r="R263" s="415">
        <v>-0.2089</v>
      </c>
      <c r="S263" s="415">
        <v>0.18110000000000001</v>
      </c>
      <c r="T263" s="415">
        <v>0.1118</v>
      </c>
      <c r="U263" s="415">
        <v>-5.7500000000000002E-2</v>
      </c>
      <c r="V263" s="415">
        <v>-5.5800000000000002E-2</v>
      </c>
      <c r="W263" s="415">
        <v>-5.2200000000000003E-2</v>
      </c>
      <c r="X263" s="416">
        <v>-5.0160999999999998</v>
      </c>
      <c r="Y263" s="418">
        <v>-0.27450000000000002</v>
      </c>
      <c r="Z263" s="418">
        <v>-0.27160000000000001</v>
      </c>
      <c r="AA263" s="418">
        <v>-0.16950000000000001</v>
      </c>
      <c r="AB263" s="419">
        <v>4346.4677000000001</v>
      </c>
      <c r="AC263" s="419">
        <v>769.08839999999998</v>
      </c>
      <c r="AD263" s="419">
        <v>614.58029999999997</v>
      </c>
      <c r="AE263" s="419">
        <v>118.4941</v>
      </c>
      <c r="AF263" s="420">
        <v>0.39600000000000002</v>
      </c>
      <c r="AG263" s="370"/>
    </row>
    <row r="264" spans="1:33">
      <c r="A264" s="370"/>
      <c r="B264" s="406">
        <f t="shared" ref="B264:B327" si="5">B263+1</f>
        <v>259</v>
      </c>
      <c r="C264" s="407">
        <v>-0.17019999999999999</v>
      </c>
      <c r="D264" s="407">
        <v>-2.0999999999999999E-3</v>
      </c>
      <c r="E264" s="407">
        <v>0.39929999999999999</v>
      </c>
      <c r="F264" s="407">
        <v>-1.5800000000000002E-2</v>
      </c>
      <c r="G264" s="407">
        <v>5.0000000000000001E-3</v>
      </c>
      <c r="H264" s="409">
        <v>7.3000000000000001E-3</v>
      </c>
      <c r="I264" s="409">
        <v>-1.0200000000000001E-2</v>
      </c>
      <c r="J264" s="407">
        <v>-1E-3</v>
      </c>
      <c r="K264" s="410">
        <v>-1.8794</v>
      </c>
      <c r="L264" s="422">
        <v>-1.9599999999999999E-2</v>
      </c>
      <c r="M264" s="412">
        <v>3.1900000000000001E-3</v>
      </c>
      <c r="N264" s="413">
        <v>3.0000000000000001E-5</v>
      </c>
      <c r="O264" s="415">
        <v>-6.1731999999999996</v>
      </c>
      <c r="P264" s="415">
        <v>-1.2505999999999999</v>
      </c>
      <c r="Q264" s="415">
        <v>-0.6462</v>
      </c>
      <c r="R264" s="415">
        <v>-0.2097</v>
      </c>
      <c r="S264" s="415">
        <v>0.1817</v>
      </c>
      <c r="T264" s="415">
        <v>0.11219999999999999</v>
      </c>
      <c r="U264" s="415">
        <v>-5.7700000000000001E-2</v>
      </c>
      <c r="V264" s="415">
        <v>-5.6000000000000001E-2</v>
      </c>
      <c r="W264" s="415">
        <v>-5.2299999999999999E-2</v>
      </c>
      <c r="X264" s="416">
        <v>-5.0339999999999998</v>
      </c>
      <c r="Y264" s="418">
        <v>-0.27550000000000002</v>
      </c>
      <c r="Z264" s="418">
        <v>-0.27260000000000001</v>
      </c>
      <c r="AA264" s="418">
        <v>-0.1701</v>
      </c>
      <c r="AB264" s="419">
        <v>3988.9297999999999</v>
      </c>
      <c r="AC264" s="419">
        <v>705.82370000000003</v>
      </c>
      <c r="AD264" s="419">
        <v>564.02530000000002</v>
      </c>
      <c r="AE264" s="419">
        <v>108.74679999999999</v>
      </c>
      <c r="AF264" s="420">
        <v>0.40460000000000002</v>
      </c>
      <c r="AG264" s="370"/>
    </row>
    <row r="265" spans="1:33">
      <c r="A265" s="370"/>
      <c r="B265" s="406">
        <f t="shared" si="5"/>
        <v>260</v>
      </c>
      <c r="C265" s="407">
        <v>-0.17080000000000001</v>
      </c>
      <c r="D265" s="407">
        <v>-2.0999999999999999E-3</v>
      </c>
      <c r="E265" s="407">
        <v>0.40060000000000001</v>
      </c>
      <c r="F265" s="407">
        <v>-1.5900000000000001E-2</v>
      </c>
      <c r="G265" s="407">
        <v>5.0000000000000001E-3</v>
      </c>
      <c r="H265" s="409">
        <v>7.3000000000000001E-3</v>
      </c>
      <c r="I265" s="409">
        <v>-1.0200000000000001E-2</v>
      </c>
      <c r="J265" s="407">
        <v>-1E-3</v>
      </c>
      <c r="K265" s="410">
        <v>-1.8855</v>
      </c>
      <c r="L265" s="422">
        <v>-1.9699999999999999E-2</v>
      </c>
      <c r="M265" s="412">
        <v>2.8999999999999998E-3</v>
      </c>
      <c r="N265" s="413">
        <v>2.0000000000000002E-5</v>
      </c>
      <c r="O265" s="415">
        <v>-6.1932</v>
      </c>
      <c r="P265" s="415">
        <v>-1.2546999999999999</v>
      </c>
      <c r="Q265" s="415">
        <v>-0.64829999999999999</v>
      </c>
      <c r="R265" s="415">
        <v>-0.2104</v>
      </c>
      <c r="S265" s="415">
        <v>0.18229999999999999</v>
      </c>
      <c r="T265" s="415">
        <v>0.11260000000000001</v>
      </c>
      <c r="U265" s="415">
        <v>-5.79E-2</v>
      </c>
      <c r="V265" s="415">
        <v>-5.62E-2</v>
      </c>
      <c r="W265" s="415">
        <v>-5.2499999999999998E-2</v>
      </c>
      <c r="X265" s="416">
        <v>-5.0503</v>
      </c>
      <c r="Y265" s="418">
        <v>-0.27629999999999999</v>
      </c>
      <c r="Z265" s="418">
        <v>-0.27350000000000002</v>
      </c>
      <c r="AA265" s="418">
        <v>-0.1706</v>
      </c>
      <c r="AB265" s="419">
        <v>3630.1768000000002</v>
      </c>
      <c r="AC265" s="419">
        <v>642.34389999999996</v>
      </c>
      <c r="AD265" s="419">
        <v>513.29849999999999</v>
      </c>
      <c r="AE265" s="419">
        <v>98.966399999999993</v>
      </c>
      <c r="AF265" s="420">
        <v>0.41320000000000001</v>
      </c>
      <c r="AG265" s="370"/>
    </row>
    <row r="266" spans="1:33">
      <c r="A266" s="370"/>
      <c r="B266" s="406">
        <f t="shared" si="5"/>
        <v>261</v>
      </c>
      <c r="C266" s="407">
        <v>-0.17130000000000001</v>
      </c>
      <c r="D266" s="407">
        <v>-2.0999999999999999E-3</v>
      </c>
      <c r="E266" s="407">
        <v>0.40179999999999999</v>
      </c>
      <c r="F266" s="407">
        <v>-1.5900000000000001E-2</v>
      </c>
      <c r="G266" s="407">
        <v>5.0000000000000001E-3</v>
      </c>
      <c r="H266" s="409">
        <v>7.3000000000000001E-3</v>
      </c>
      <c r="I266" s="409">
        <v>-1.03E-2</v>
      </c>
      <c r="J266" s="407">
        <v>-1E-3</v>
      </c>
      <c r="K266" s="410">
        <v>-1.891</v>
      </c>
      <c r="L266" s="422">
        <v>-1.9699999999999999E-2</v>
      </c>
      <c r="M266" s="412">
        <v>2.6099999999999999E-3</v>
      </c>
      <c r="N266" s="413">
        <v>2.0000000000000002E-5</v>
      </c>
      <c r="O266" s="415">
        <v>-6.2112999999999996</v>
      </c>
      <c r="P266" s="415">
        <v>-1.2583</v>
      </c>
      <c r="Q266" s="415">
        <v>-0.6502</v>
      </c>
      <c r="R266" s="415">
        <v>-0.21099999999999999</v>
      </c>
      <c r="S266" s="415">
        <v>0.18279999999999999</v>
      </c>
      <c r="T266" s="415">
        <v>0.1129</v>
      </c>
      <c r="U266" s="415">
        <v>-5.8099999999999999E-2</v>
      </c>
      <c r="V266" s="415">
        <v>-5.6399999999999999E-2</v>
      </c>
      <c r="W266" s="415">
        <v>-5.2699999999999997E-2</v>
      </c>
      <c r="X266" s="416">
        <v>-5.0651000000000002</v>
      </c>
      <c r="Y266" s="418">
        <v>-0.2772</v>
      </c>
      <c r="Z266" s="418">
        <v>-0.27429999999999999</v>
      </c>
      <c r="AA266" s="418">
        <v>-0.1711</v>
      </c>
      <c r="AB266" s="419">
        <v>3270.3180000000002</v>
      </c>
      <c r="AC266" s="419">
        <v>578.66849999999999</v>
      </c>
      <c r="AD266" s="419">
        <v>462.4153</v>
      </c>
      <c r="AE266" s="419">
        <v>89.155900000000003</v>
      </c>
      <c r="AF266" s="420">
        <v>0.42180000000000001</v>
      </c>
      <c r="AG266" s="370"/>
    </row>
    <row r="267" spans="1:33">
      <c r="A267" s="370"/>
      <c r="B267" s="406">
        <f t="shared" si="5"/>
        <v>262</v>
      </c>
      <c r="C267" s="407">
        <v>-0.17169999999999999</v>
      </c>
      <c r="D267" s="407">
        <v>-2.0999999999999999E-3</v>
      </c>
      <c r="E267" s="407">
        <v>0.40279999999999999</v>
      </c>
      <c r="F267" s="407">
        <v>-1.5900000000000001E-2</v>
      </c>
      <c r="G267" s="407">
        <v>5.1000000000000004E-3</v>
      </c>
      <c r="H267" s="409">
        <v>7.3000000000000001E-3</v>
      </c>
      <c r="I267" s="409">
        <v>-1.03E-2</v>
      </c>
      <c r="J267" s="407">
        <v>-1E-3</v>
      </c>
      <c r="K267" s="410">
        <v>-1.8959999999999999</v>
      </c>
      <c r="L267" s="422">
        <v>-1.9800000000000002E-2</v>
      </c>
      <c r="M267" s="412">
        <v>2.32E-3</v>
      </c>
      <c r="N267" s="413">
        <v>2.0000000000000002E-5</v>
      </c>
      <c r="O267" s="415">
        <v>-6.2275999999999998</v>
      </c>
      <c r="P267" s="415">
        <v>-1.2616000000000001</v>
      </c>
      <c r="Q267" s="415">
        <v>-0.65190000000000003</v>
      </c>
      <c r="R267" s="415">
        <v>-0.21149999999999999</v>
      </c>
      <c r="S267" s="415">
        <v>0.18329999999999999</v>
      </c>
      <c r="T267" s="415">
        <v>0.1132</v>
      </c>
      <c r="U267" s="415">
        <v>-5.8200000000000002E-2</v>
      </c>
      <c r="V267" s="415">
        <v>-5.6500000000000002E-2</v>
      </c>
      <c r="W267" s="415">
        <v>-5.28E-2</v>
      </c>
      <c r="X267" s="416">
        <v>-5.0782999999999996</v>
      </c>
      <c r="Y267" s="418">
        <v>-0.27789999999999998</v>
      </c>
      <c r="Z267" s="418">
        <v>-0.27500000000000002</v>
      </c>
      <c r="AA267" s="418">
        <v>-0.1716</v>
      </c>
      <c r="AB267" s="419">
        <v>2909.4630999999999</v>
      </c>
      <c r="AC267" s="419">
        <v>514.81669999999997</v>
      </c>
      <c r="AD267" s="419">
        <v>411.39120000000003</v>
      </c>
      <c r="AE267" s="419">
        <v>79.318200000000004</v>
      </c>
      <c r="AF267" s="420">
        <v>0.4304</v>
      </c>
      <c r="AG267" s="370"/>
    </row>
    <row r="268" spans="1:33">
      <c r="A268" s="370"/>
      <c r="B268" s="406">
        <f t="shared" si="5"/>
        <v>263</v>
      </c>
      <c r="C268" s="407">
        <v>-0.1721</v>
      </c>
      <c r="D268" s="407">
        <v>-2.0999999999999999E-3</v>
      </c>
      <c r="E268" s="407">
        <v>0.40379999999999999</v>
      </c>
      <c r="F268" s="407">
        <v>-1.6E-2</v>
      </c>
      <c r="G268" s="407">
        <v>5.1000000000000004E-3</v>
      </c>
      <c r="H268" s="409">
        <v>7.3000000000000001E-3</v>
      </c>
      <c r="I268" s="409">
        <v>-1.03E-2</v>
      </c>
      <c r="J268" s="407">
        <v>-1E-3</v>
      </c>
      <c r="K268" s="410">
        <v>-1.9003000000000001</v>
      </c>
      <c r="L268" s="422">
        <v>-1.9800000000000002E-2</v>
      </c>
      <c r="M268" s="412">
        <v>2.0400000000000001E-3</v>
      </c>
      <c r="N268" s="413">
        <v>2.0000000000000002E-5</v>
      </c>
      <c r="O268" s="415">
        <v>-6.2419000000000002</v>
      </c>
      <c r="P268" s="415">
        <v>-1.2645</v>
      </c>
      <c r="Q268" s="415">
        <v>-0.65339999999999998</v>
      </c>
      <c r="R268" s="415">
        <v>-0.21199999999999999</v>
      </c>
      <c r="S268" s="415">
        <v>0.1837</v>
      </c>
      <c r="T268" s="415">
        <v>0.1135</v>
      </c>
      <c r="U268" s="415">
        <v>-5.8400000000000001E-2</v>
      </c>
      <c r="V268" s="415">
        <v>-5.6599999999999998E-2</v>
      </c>
      <c r="W268" s="415">
        <v>-5.2900000000000003E-2</v>
      </c>
      <c r="X268" s="416">
        <v>-5.09</v>
      </c>
      <c r="Y268" s="418">
        <v>-0.27850000000000003</v>
      </c>
      <c r="Z268" s="418">
        <v>-0.27560000000000001</v>
      </c>
      <c r="AA268" s="418">
        <v>-0.1719</v>
      </c>
      <c r="AB268" s="419">
        <v>2547.7219</v>
      </c>
      <c r="AC268" s="419">
        <v>450.8082</v>
      </c>
      <c r="AD268" s="419">
        <v>360.24189999999999</v>
      </c>
      <c r="AE268" s="419">
        <v>69.456400000000002</v>
      </c>
      <c r="AF268" s="420">
        <v>0.43909999999999999</v>
      </c>
      <c r="AG268" s="370"/>
    </row>
    <row r="269" spans="1:33">
      <c r="A269" s="370"/>
      <c r="B269" s="406">
        <f t="shared" si="5"/>
        <v>264</v>
      </c>
      <c r="C269" s="407">
        <v>-0.17249999999999999</v>
      </c>
      <c r="D269" s="407">
        <v>-2.0999999999999999E-3</v>
      </c>
      <c r="E269" s="407">
        <v>0.40460000000000002</v>
      </c>
      <c r="F269" s="407">
        <v>-1.6E-2</v>
      </c>
      <c r="G269" s="407">
        <v>5.1000000000000004E-3</v>
      </c>
      <c r="H269" s="409">
        <v>7.4000000000000003E-3</v>
      </c>
      <c r="I269" s="409">
        <v>-1.03E-2</v>
      </c>
      <c r="J269" s="407">
        <v>-1E-3</v>
      </c>
      <c r="K269" s="410">
        <v>-1.9040999999999999</v>
      </c>
      <c r="L269" s="422">
        <v>-1.9900000000000001E-2</v>
      </c>
      <c r="M269" s="412">
        <v>1.75E-3</v>
      </c>
      <c r="N269" s="413">
        <v>1.0000000000000001E-5</v>
      </c>
      <c r="O269" s="415">
        <v>-6.2542999999999997</v>
      </c>
      <c r="P269" s="415">
        <v>-1.2669999999999999</v>
      </c>
      <c r="Q269" s="415">
        <v>-0.65469999999999995</v>
      </c>
      <c r="R269" s="415">
        <v>-0.21240000000000001</v>
      </c>
      <c r="S269" s="415">
        <v>0.18410000000000001</v>
      </c>
      <c r="T269" s="415">
        <v>0.1137</v>
      </c>
      <c r="U269" s="415">
        <v>-5.8500000000000003E-2</v>
      </c>
      <c r="V269" s="415">
        <v>-5.6800000000000003E-2</v>
      </c>
      <c r="W269" s="415">
        <v>-5.2999999999999999E-2</v>
      </c>
      <c r="X269" s="416">
        <v>-5.1001000000000003</v>
      </c>
      <c r="Y269" s="418">
        <v>-0.27910000000000001</v>
      </c>
      <c r="Z269" s="418">
        <v>-0.2762</v>
      </c>
      <c r="AA269" s="418">
        <v>-0.17230000000000001</v>
      </c>
      <c r="AB269" s="419">
        <v>2185.2046</v>
      </c>
      <c r="AC269" s="419">
        <v>386.66239999999999</v>
      </c>
      <c r="AD269" s="419">
        <v>308.9828</v>
      </c>
      <c r="AE269" s="419">
        <v>59.573399999999999</v>
      </c>
      <c r="AF269" s="420">
        <v>0.44769999999999999</v>
      </c>
      <c r="AG269" s="370"/>
    </row>
    <row r="270" spans="1:33">
      <c r="A270" s="370"/>
      <c r="B270" s="406">
        <f t="shared" si="5"/>
        <v>265</v>
      </c>
      <c r="C270" s="407">
        <v>-0.17269999999999999</v>
      </c>
      <c r="D270" s="407">
        <v>-2.0999999999999999E-3</v>
      </c>
      <c r="E270" s="407">
        <v>0.40529999999999999</v>
      </c>
      <c r="F270" s="407">
        <v>-1.6E-2</v>
      </c>
      <c r="G270" s="407">
        <v>5.1000000000000004E-3</v>
      </c>
      <c r="H270" s="409">
        <v>7.4000000000000003E-3</v>
      </c>
      <c r="I270" s="409">
        <v>-1.04E-2</v>
      </c>
      <c r="J270" s="407">
        <v>-1E-3</v>
      </c>
      <c r="K270" s="410">
        <v>-1.9073</v>
      </c>
      <c r="L270" s="422">
        <v>-1.9900000000000001E-2</v>
      </c>
      <c r="M270" s="412">
        <v>1.4599999999999999E-3</v>
      </c>
      <c r="N270" s="413">
        <v>1.0000000000000001E-5</v>
      </c>
      <c r="O270" s="415">
        <v>-6.2648000000000001</v>
      </c>
      <c r="P270" s="415">
        <v>-1.2692000000000001</v>
      </c>
      <c r="Q270" s="415">
        <v>-0.65580000000000005</v>
      </c>
      <c r="R270" s="415">
        <v>-0.21279999999999999</v>
      </c>
      <c r="S270" s="415">
        <v>0.18440000000000001</v>
      </c>
      <c r="T270" s="415">
        <v>0.1139</v>
      </c>
      <c r="U270" s="415">
        <v>-5.8599999999999999E-2</v>
      </c>
      <c r="V270" s="415">
        <v>-5.6800000000000003E-2</v>
      </c>
      <c r="W270" s="415">
        <v>-5.3100000000000001E-2</v>
      </c>
      <c r="X270" s="416">
        <v>-5.1086999999999998</v>
      </c>
      <c r="Y270" s="418">
        <v>-0.27950000000000003</v>
      </c>
      <c r="Z270" s="418">
        <v>-0.27660000000000001</v>
      </c>
      <c r="AA270" s="418">
        <v>-0.1726</v>
      </c>
      <c r="AB270" s="419">
        <v>1822.0217</v>
      </c>
      <c r="AC270" s="419">
        <v>322.39879999999999</v>
      </c>
      <c r="AD270" s="419">
        <v>257.62959999999998</v>
      </c>
      <c r="AE270" s="419">
        <v>49.672199999999997</v>
      </c>
      <c r="AF270" s="420">
        <v>0.45639999999999997</v>
      </c>
      <c r="AG270" s="370"/>
    </row>
    <row r="271" spans="1:33">
      <c r="A271" s="370"/>
      <c r="B271" s="406">
        <f t="shared" si="5"/>
        <v>266</v>
      </c>
      <c r="C271" s="407">
        <v>-0.17299999999999999</v>
      </c>
      <c r="D271" s="407">
        <v>-2.0999999999999999E-3</v>
      </c>
      <c r="E271" s="407">
        <v>0.40579999999999999</v>
      </c>
      <c r="F271" s="407">
        <v>-1.61E-2</v>
      </c>
      <c r="G271" s="407">
        <v>5.1000000000000004E-3</v>
      </c>
      <c r="H271" s="409">
        <v>7.4000000000000003E-3</v>
      </c>
      <c r="I271" s="409">
        <v>-1.04E-2</v>
      </c>
      <c r="J271" s="407">
        <v>-1E-3</v>
      </c>
      <c r="K271" s="410">
        <v>-1.9098999999999999</v>
      </c>
      <c r="L271" s="422">
        <v>-1.9900000000000001E-2</v>
      </c>
      <c r="M271" s="412">
        <v>1.16E-3</v>
      </c>
      <c r="N271" s="413">
        <v>1.0000000000000001E-5</v>
      </c>
      <c r="O271" s="415">
        <v>-6.2735000000000003</v>
      </c>
      <c r="P271" s="415">
        <v>-1.2708999999999999</v>
      </c>
      <c r="Q271" s="415">
        <v>-0.65669999999999995</v>
      </c>
      <c r="R271" s="415">
        <v>-0.21310000000000001</v>
      </c>
      <c r="S271" s="415">
        <v>0.1847</v>
      </c>
      <c r="T271" s="415">
        <v>0.11409999999999999</v>
      </c>
      <c r="U271" s="415">
        <v>-5.8599999999999999E-2</v>
      </c>
      <c r="V271" s="415">
        <v>-5.6899999999999999E-2</v>
      </c>
      <c r="W271" s="415">
        <v>-5.3199999999999997E-2</v>
      </c>
      <c r="X271" s="416">
        <v>-5.1157000000000004</v>
      </c>
      <c r="Y271" s="418">
        <v>-0.27989999999999998</v>
      </c>
      <c r="Z271" s="418">
        <v>-0.27700000000000002</v>
      </c>
      <c r="AA271" s="418">
        <v>-0.17280000000000001</v>
      </c>
      <c r="AB271" s="419">
        <v>1458.2837999999999</v>
      </c>
      <c r="AC271" s="419">
        <v>258.0369</v>
      </c>
      <c r="AD271" s="419">
        <v>206.1979</v>
      </c>
      <c r="AE271" s="419">
        <v>39.756</v>
      </c>
      <c r="AF271" s="420">
        <v>0.46510000000000001</v>
      </c>
      <c r="AG271" s="370"/>
    </row>
    <row r="272" spans="1:33">
      <c r="A272" s="370"/>
      <c r="B272" s="406">
        <f t="shared" si="5"/>
        <v>267</v>
      </c>
      <c r="C272" s="407">
        <v>-0.17319999999999999</v>
      </c>
      <c r="D272" s="407">
        <v>-2.0999999999999999E-3</v>
      </c>
      <c r="E272" s="407">
        <v>0.40620000000000001</v>
      </c>
      <c r="F272" s="407">
        <v>-1.61E-2</v>
      </c>
      <c r="G272" s="407">
        <v>5.1000000000000004E-3</v>
      </c>
      <c r="H272" s="409">
        <v>7.4000000000000003E-3</v>
      </c>
      <c r="I272" s="409">
        <v>-1.04E-2</v>
      </c>
      <c r="J272" s="407">
        <v>-1E-3</v>
      </c>
      <c r="K272" s="410">
        <v>-1.9119999999999999</v>
      </c>
      <c r="L272" s="422">
        <v>-0.02</v>
      </c>
      <c r="M272" s="412">
        <v>8.7000000000000001E-4</v>
      </c>
      <c r="N272" s="413">
        <v>1.0000000000000001E-5</v>
      </c>
      <c r="O272" s="415">
        <v>-6.2801999999999998</v>
      </c>
      <c r="P272" s="415">
        <v>-1.2723</v>
      </c>
      <c r="Q272" s="415">
        <v>-0.65739999999999998</v>
      </c>
      <c r="R272" s="415">
        <v>-0.21329999999999999</v>
      </c>
      <c r="S272" s="415">
        <v>0.18490000000000001</v>
      </c>
      <c r="T272" s="415">
        <v>0.1142</v>
      </c>
      <c r="U272" s="415">
        <v>-5.8700000000000002E-2</v>
      </c>
      <c r="V272" s="415">
        <v>-5.7000000000000002E-2</v>
      </c>
      <c r="W272" s="415">
        <v>-5.3199999999999997E-2</v>
      </c>
      <c r="X272" s="416">
        <v>-5.1212</v>
      </c>
      <c r="Y272" s="418">
        <v>-0.2802</v>
      </c>
      <c r="Z272" s="418">
        <v>-0.27729999999999999</v>
      </c>
      <c r="AA272" s="418">
        <v>-0.17299999999999999</v>
      </c>
      <c r="AB272" s="419">
        <v>1094.1016999999999</v>
      </c>
      <c r="AC272" s="419">
        <v>193.59649999999999</v>
      </c>
      <c r="AD272" s="419">
        <v>154.70339999999999</v>
      </c>
      <c r="AE272" s="419">
        <v>29.8276</v>
      </c>
      <c r="AF272" s="420">
        <v>0.4738</v>
      </c>
      <c r="AG272" s="370"/>
    </row>
    <row r="273" spans="1:33">
      <c r="A273" s="370"/>
      <c r="B273" s="406">
        <f t="shared" si="5"/>
        <v>268</v>
      </c>
      <c r="C273" s="407">
        <v>-0.17330000000000001</v>
      </c>
      <c r="D273" s="407">
        <v>-2.0999999999999999E-3</v>
      </c>
      <c r="E273" s="407">
        <v>0.40660000000000002</v>
      </c>
      <c r="F273" s="407">
        <v>-1.61E-2</v>
      </c>
      <c r="G273" s="407">
        <v>5.1000000000000004E-3</v>
      </c>
      <c r="H273" s="409">
        <v>7.4000000000000003E-3</v>
      </c>
      <c r="I273" s="409">
        <v>-1.04E-2</v>
      </c>
      <c r="J273" s="407">
        <v>-1E-3</v>
      </c>
      <c r="K273" s="410">
        <v>-1.9134</v>
      </c>
      <c r="L273" s="422">
        <v>-0.02</v>
      </c>
      <c r="M273" s="412">
        <v>5.8E-4</v>
      </c>
      <c r="N273" s="413">
        <v>0</v>
      </c>
      <c r="O273" s="415">
        <v>-6.2849000000000004</v>
      </c>
      <c r="P273" s="415">
        <v>-1.2733000000000001</v>
      </c>
      <c r="Q273" s="415">
        <v>-0.65790000000000004</v>
      </c>
      <c r="R273" s="415">
        <v>-0.2135</v>
      </c>
      <c r="S273" s="415">
        <v>0.185</v>
      </c>
      <c r="T273" s="415">
        <v>0.1143</v>
      </c>
      <c r="U273" s="415">
        <v>-5.8799999999999998E-2</v>
      </c>
      <c r="V273" s="415">
        <v>-5.7000000000000002E-2</v>
      </c>
      <c r="W273" s="415">
        <v>-5.33E-2</v>
      </c>
      <c r="X273" s="416">
        <v>-5.1250999999999998</v>
      </c>
      <c r="Y273" s="418">
        <v>-0.28039999999999998</v>
      </c>
      <c r="Z273" s="418">
        <v>-0.27750000000000002</v>
      </c>
      <c r="AA273" s="418">
        <v>-0.1731</v>
      </c>
      <c r="AB273" s="419">
        <v>729.58640000000003</v>
      </c>
      <c r="AC273" s="419">
        <v>129.09710000000001</v>
      </c>
      <c r="AD273" s="419">
        <v>103.1618</v>
      </c>
      <c r="AE273" s="419">
        <v>19.8901</v>
      </c>
      <c r="AF273" s="420">
        <v>0.48259999999999997</v>
      </c>
      <c r="AG273" s="370"/>
    </row>
    <row r="274" spans="1:33">
      <c r="A274" s="370"/>
      <c r="B274" s="406">
        <f t="shared" si="5"/>
        <v>269</v>
      </c>
      <c r="C274" s="407">
        <v>-0.1734</v>
      </c>
      <c r="D274" s="407">
        <v>-2.0999999999999999E-3</v>
      </c>
      <c r="E274" s="407">
        <v>0.40670000000000001</v>
      </c>
      <c r="F274" s="407">
        <v>-1.61E-2</v>
      </c>
      <c r="G274" s="407">
        <v>5.1000000000000004E-3</v>
      </c>
      <c r="H274" s="409">
        <v>7.4000000000000003E-3</v>
      </c>
      <c r="I274" s="409">
        <v>-1.04E-2</v>
      </c>
      <c r="J274" s="407">
        <v>-1E-3</v>
      </c>
      <c r="K274" s="410">
        <v>-1.9142999999999999</v>
      </c>
      <c r="L274" s="422">
        <v>-0.02</v>
      </c>
      <c r="M274" s="412">
        <v>2.9E-4</v>
      </c>
      <c r="N274" s="413">
        <v>0</v>
      </c>
      <c r="O274" s="415">
        <v>-6.2877999999999998</v>
      </c>
      <c r="P274" s="415">
        <v>-1.2738</v>
      </c>
      <c r="Q274" s="415">
        <v>-0.65820000000000001</v>
      </c>
      <c r="R274" s="415">
        <v>-0.21360000000000001</v>
      </c>
      <c r="S274" s="415">
        <v>0.18509999999999999</v>
      </c>
      <c r="T274" s="415">
        <v>0.1143</v>
      </c>
      <c r="U274" s="415">
        <v>-5.8799999999999998E-2</v>
      </c>
      <c r="V274" s="415">
        <v>-5.7099999999999998E-2</v>
      </c>
      <c r="W274" s="415">
        <v>-5.33E-2</v>
      </c>
      <c r="X274" s="416">
        <v>-5.1273999999999997</v>
      </c>
      <c r="Y274" s="418">
        <v>-0.28060000000000002</v>
      </c>
      <c r="Z274" s="418">
        <v>-0.2777</v>
      </c>
      <c r="AA274" s="418">
        <v>-0.17319999999999999</v>
      </c>
      <c r="AB274" s="419">
        <v>364.84879999999998</v>
      </c>
      <c r="AC274" s="419">
        <v>64.558400000000006</v>
      </c>
      <c r="AD274" s="419">
        <v>51.588799999999999</v>
      </c>
      <c r="AE274" s="419">
        <v>9.9466000000000001</v>
      </c>
      <c r="AF274" s="420">
        <v>0.49130000000000001</v>
      </c>
      <c r="AG274" s="370"/>
    </row>
    <row r="275" spans="1:33">
      <c r="A275" s="370"/>
      <c r="B275" s="406">
        <f t="shared" si="5"/>
        <v>270</v>
      </c>
      <c r="C275" s="407">
        <v>-0.1734</v>
      </c>
      <c r="D275" s="407">
        <v>-2.0999999999999999E-3</v>
      </c>
      <c r="E275" s="407">
        <v>0.40679999999999999</v>
      </c>
      <c r="F275" s="407">
        <v>-1.61E-2</v>
      </c>
      <c r="G275" s="407">
        <v>5.1000000000000004E-3</v>
      </c>
      <c r="H275" s="409">
        <v>7.4000000000000003E-3</v>
      </c>
      <c r="I275" s="409">
        <v>-1.04E-2</v>
      </c>
      <c r="J275" s="407">
        <v>-1E-3</v>
      </c>
      <c r="K275" s="410">
        <v>-1.9146000000000001</v>
      </c>
      <c r="L275" s="422">
        <v>-0.02</v>
      </c>
      <c r="M275" s="412">
        <v>0</v>
      </c>
      <c r="N275" s="413">
        <v>0</v>
      </c>
      <c r="O275" s="415">
        <v>-6.2888000000000002</v>
      </c>
      <c r="P275" s="415">
        <v>-1.274</v>
      </c>
      <c r="Q275" s="415">
        <v>-0.6583</v>
      </c>
      <c r="R275" s="415">
        <v>-0.21360000000000001</v>
      </c>
      <c r="S275" s="415">
        <v>0.18509999999999999</v>
      </c>
      <c r="T275" s="415">
        <v>0.1143</v>
      </c>
      <c r="U275" s="415">
        <v>-5.8799999999999998E-2</v>
      </c>
      <c r="V275" s="415">
        <v>-5.7099999999999998E-2</v>
      </c>
      <c r="W275" s="415">
        <v>-5.33E-2</v>
      </c>
      <c r="X275" s="416">
        <v>-5.1281999999999996</v>
      </c>
      <c r="Y275" s="418">
        <v>-0.28060000000000002</v>
      </c>
      <c r="Z275" s="418">
        <v>-0.2777</v>
      </c>
      <c r="AA275" s="418">
        <v>-0.17319999999999999</v>
      </c>
      <c r="AB275" s="419">
        <v>0</v>
      </c>
      <c r="AC275" s="419">
        <v>0</v>
      </c>
      <c r="AD275" s="419">
        <v>0</v>
      </c>
      <c r="AE275" s="419">
        <v>0</v>
      </c>
      <c r="AF275" s="420">
        <v>0.5</v>
      </c>
      <c r="AG275" s="370"/>
    </row>
    <row r="276" spans="1:33">
      <c r="A276" s="370"/>
      <c r="B276" s="406">
        <f t="shared" si="5"/>
        <v>271</v>
      </c>
      <c r="C276" s="407">
        <v>-0.1734</v>
      </c>
      <c r="D276" s="407">
        <v>-2.0999999999999999E-3</v>
      </c>
      <c r="E276" s="407">
        <v>0.40670000000000001</v>
      </c>
      <c r="F276" s="407">
        <v>-1.61E-2</v>
      </c>
      <c r="G276" s="407">
        <v>5.1000000000000004E-3</v>
      </c>
      <c r="H276" s="409">
        <v>7.4000000000000003E-3</v>
      </c>
      <c r="I276" s="409">
        <v>-1.04E-2</v>
      </c>
      <c r="J276" s="407">
        <v>-1E-3</v>
      </c>
      <c r="K276" s="410">
        <v>-1.9142999999999999</v>
      </c>
      <c r="L276" s="411">
        <v>-0.02</v>
      </c>
      <c r="M276" s="412">
        <v>-2.9E-4</v>
      </c>
      <c r="N276" s="413">
        <v>0</v>
      </c>
      <c r="O276" s="415">
        <v>-6.2877999999999998</v>
      </c>
      <c r="P276" s="415">
        <v>-1.2738</v>
      </c>
      <c r="Q276" s="424">
        <v>-0.65820000000000001</v>
      </c>
      <c r="R276" s="415">
        <v>-0.21360000000000001</v>
      </c>
      <c r="S276" s="415">
        <v>0.18509999999999999</v>
      </c>
      <c r="T276" s="415">
        <v>0.1143</v>
      </c>
      <c r="U276" s="415">
        <v>-5.8799999999999998E-2</v>
      </c>
      <c r="V276" s="415">
        <v>-5.7099999999999998E-2</v>
      </c>
      <c r="W276" s="415">
        <v>-5.33E-2</v>
      </c>
      <c r="X276" s="416">
        <v>-5.1273999999999997</v>
      </c>
      <c r="Y276" s="418">
        <v>-0.28060000000000002</v>
      </c>
      <c r="Z276" s="418">
        <v>-0.2777</v>
      </c>
      <c r="AA276" s="418">
        <v>-0.17319999999999999</v>
      </c>
      <c r="AB276" s="419">
        <v>-364.84879999999998</v>
      </c>
      <c r="AC276" s="419">
        <v>-64.558400000000006</v>
      </c>
      <c r="AD276" s="419">
        <v>-51.588799999999999</v>
      </c>
      <c r="AE276" s="419">
        <v>-9.9466000000000001</v>
      </c>
      <c r="AF276" s="420">
        <v>0.50870000000000004</v>
      </c>
      <c r="AG276" s="370"/>
    </row>
    <row r="277" spans="1:33">
      <c r="A277" s="370"/>
      <c r="B277" s="406">
        <f t="shared" si="5"/>
        <v>272</v>
      </c>
      <c r="C277" s="407">
        <v>-0.17330000000000001</v>
      </c>
      <c r="D277" s="407">
        <v>-2.0999999999999999E-3</v>
      </c>
      <c r="E277" s="407">
        <v>0.40660000000000002</v>
      </c>
      <c r="F277" s="407">
        <v>-1.61E-2</v>
      </c>
      <c r="G277" s="407">
        <v>5.1000000000000004E-3</v>
      </c>
      <c r="H277" s="409">
        <v>7.4000000000000003E-3</v>
      </c>
      <c r="I277" s="409">
        <v>-1.04E-2</v>
      </c>
      <c r="J277" s="407">
        <v>-1E-3</v>
      </c>
      <c r="K277" s="410">
        <v>-1.9134</v>
      </c>
      <c r="L277" s="411">
        <v>-0.02</v>
      </c>
      <c r="M277" s="412">
        <v>-5.8E-4</v>
      </c>
      <c r="N277" s="413">
        <v>0</v>
      </c>
      <c r="O277" s="415">
        <v>-6.2849000000000004</v>
      </c>
      <c r="P277" s="415">
        <v>-1.2733000000000001</v>
      </c>
      <c r="Q277" s="415">
        <v>-0.65790000000000004</v>
      </c>
      <c r="R277" s="415">
        <v>-0.2135</v>
      </c>
      <c r="S277" s="415">
        <v>0.185</v>
      </c>
      <c r="T277" s="415">
        <v>0.1143</v>
      </c>
      <c r="U277" s="415">
        <v>-5.8799999999999998E-2</v>
      </c>
      <c r="V277" s="415">
        <v>-5.7000000000000002E-2</v>
      </c>
      <c r="W277" s="415">
        <v>-5.33E-2</v>
      </c>
      <c r="X277" s="416">
        <v>-5.1250999999999998</v>
      </c>
      <c r="Y277" s="418">
        <v>-0.28039999999999998</v>
      </c>
      <c r="Z277" s="418">
        <v>-0.27750000000000002</v>
      </c>
      <c r="AA277" s="418">
        <v>-0.1731</v>
      </c>
      <c r="AB277" s="419">
        <v>-729.58640000000003</v>
      </c>
      <c r="AC277" s="419">
        <v>-129.09710000000001</v>
      </c>
      <c r="AD277" s="419">
        <v>-103.1618</v>
      </c>
      <c r="AE277" s="419">
        <v>-19.8901</v>
      </c>
      <c r="AF277" s="420">
        <v>0.51739999999999997</v>
      </c>
      <c r="AG277" s="370"/>
    </row>
    <row r="278" spans="1:33">
      <c r="A278" s="370"/>
      <c r="B278" s="406">
        <f t="shared" si="5"/>
        <v>273</v>
      </c>
      <c r="C278" s="407">
        <v>-0.17319999999999999</v>
      </c>
      <c r="D278" s="407">
        <v>-2.0999999999999999E-3</v>
      </c>
      <c r="E278" s="407">
        <v>0.40620000000000001</v>
      </c>
      <c r="F278" s="407">
        <v>-1.61E-2</v>
      </c>
      <c r="G278" s="407">
        <v>5.1000000000000004E-3</v>
      </c>
      <c r="H278" s="409">
        <v>7.4000000000000003E-3</v>
      </c>
      <c r="I278" s="409">
        <v>-1.04E-2</v>
      </c>
      <c r="J278" s="407">
        <v>-1E-3</v>
      </c>
      <c r="K278" s="410">
        <v>-1.9119999999999999</v>
      </c>
      <c r="L278" s="422">
        <v>-0.02</v>
      </c>
      <c r="M278" s="412">
        <v>-8.7000000000000001E-4</v>
      </c>
      <c r="N278" s="413">
        <v>-1.0000000000000001E-5</v>
      </c>
      <c r="O278" s="415">
        <v>-6.2801999999999998</v>
      </c>
      <c r="P278" s="415">
        <v>-1.2723</v>
      </c>
      <c r="Q278" s="415">
        <v>-0.65739999999999998</v>
      </c>
      <c r="R278" s="415">
        <v>-0.21329999999999999</v>
      </c>
      <c r="S278" s="415">
        <v>0.18490000000000001</v>
      </c>
      <c r="T278" s="415">
        <v>0.1142</v>
      </c>
      <c r="U278" s="415">
        <v>-5.8700000000000002E-2</v>
      </c>
      <c r="V278" s="415">
        <v>-5.7000000000000002E-2</v>
      </c>
      <c r="W278" s="415">
        <v>-5.3199999999999997E-2</v>
      </c>
      <c r="X278" s="416">
        <v>-5.1212</v>
      </c>
      <c r="Y278" s="418">
        <v>-0.2802</v>
      </c>
      <c r="Z278" s="418">
        <v>-0.27729999999999999</v>
      </c>
      <c r="AA278" s="418">
        <v>-0.17299999999999999</v>
      </c>
      <c r="AB278" s="419">
        <v>-1094.1016999999999</v>
      </c>
      <c r="AC278" s="419">
        <v>-193.59649999999999</v>
      </c>
      <c r="AD278" s="419">
        <v>-154.70339999999999</v>
      </c>
      <c r="AE278" s="419">
        <v>-29.8276</v>
      </c>
      <c r="AF278" s="420">
        <v>0.5262</v>
      </c>
      <c r="AG278" s="370"/>
    </row>
    <row r="279" spans="1:33">
      <c r="A279" s="370"/>
      <c r="B279" s="406">
        <f t="shared" si="5"/>
        <v>274</v>
      </c>
      <c r="C279" s="407">
        <v>-0.17299999999999999</v>
      </c>
      <c r="D279" s="407">
        <v>-2.0999999999999999E-3</v>
      </c>
      <c r="E279" s="407">
        <v>0.40579999999999999</v>
      </c>
      <c r="F279" s="407">
        <v>-1.61E-2</v>
      </c>
      <c r="G279" s="407">
        <v>5.1000000000000004E-3</v>
      </c>
      <c r="H279" s="409">
        <v>7.4000000000000003E-3</v>
      </c>
      <c r="I279" s="409">
        <v>-1.04E-2</v>
      </c>
      <c r="J279" s="407">
        <v>-1E-3</v>
      </c>
      <c r="K279" s="410">
        <v>-1.9098999999999999</v>
      </c>
      <c r="L279" s="422">
        <v>-1.9900000000000001E-2</v>
      </c>
      <c r="M279" s="412">
        <v>-1.16E-3</v>
      </c>
      <c r="N279" s="413">
        <v>-1.0000000000000001E-5</v>
      </c>
      <c r="O279" s="415">
        <v>-6.2735000000000003</v>
      </c>
      <c r="P279" s="415">
        <v>-1.2708999999999999</v>
      </c>
      <c r="Q279" s="415">
        <v>-0.65669999999999995</v>
      </c>
      <c r="R279" s="415">
        <v>-0.21310000000000001</v>
      </c>
      <c r="S279" s="415">
        <v>0.1847</v>
      </c>
      <c r="T279" s="415">
        <v>0.11409999999999999</v>
      </c>
      <c r="U279" s="415">
        <v>-5.8599999999999999E-2</v>
      </c>
      <c r="V279" s="415">
        <v>-5.6899999999999999E-2</v>
      </c>
      <c r="W279" s="415">
        <v>-5.3199999999999997E-2</v>
      </c>
      <c r="X279" s="416">
        <v>-5.1157000000000004</v>
      </c>
      <c r="Y279" s="418">
        <v>-0.27989999999999998</v>
      </c>
      <c r="Z279" s="418">
        <v>-0.27700000000000002</v>
      </c>
      <c r="AA279" s="418">
        <v>-0.17280000000000001</v>
      </c>
      <c r="AB279" s="419">
        <v>-1458.2837999999999</v>
      </c>
      <c r="AC279" s="419">
        <v>-258.0369</v>
      </c>
      <c r="AD279" s="419">
        <v>-206.1979</v>
      </c>
      <c r="AE279" s="419">
        <v>-39.756</v>
      </c>
      <c r="AF279" s="420">
        <v>0.53490000000000004</v>
      </c>
      <c r="AG279" s="370"/>
    </row>
    <row r="280" spans="1:33">
      <c r="A280" s="370"/>
      <c r="B280" s="406">
        <f t="shared" si="5"/>
        <v>275</v>
      </c>
      <c r="C280" s="407">
        <v>-0.17269999999999999</v>
      </c>
      <c r="D280" s="407">
        <v>-2.0999999999999999E-3</v>
      </c>
      <c r="E280" s="407">
        <v>0.40529999999999999</v>
      </c>
      <c r="F280" s="407">
        <v>-1.6E-2</v>
      </c>
      <c r="G280" s="407">
        <v>5.1000000000000004E-3</v>
      </c>
      <c r="H280" s="409">
        <v>7.4000000000000003E-3</v>
      </c>
      <c r="I280" s="409">
        <v>-1.04E-2</v>
      </c>
      <c r="J280" s="407">
        <v>-1E-3</v>
      </c>
      <c r="K280" s="410">
        <v>-1.9073</v>
      </c>
      <c r="L280" s="422">
        <v>-1.9900000000000001E-2</v>
      </c>
      <c r="M280" s="412">
        <v>-1.4599999999999999E-3</v>
      </c>
      <c r="N280" s="413">
        <v>-1.0000000000000001E-5</v>
      </c>
      <c r="O280" s="415">
        <v>-6.2648000000000001</v>
      </c>
      <c r="P280" s="415">
        <v>-1.2692000000000001</v>
      </c>
      <c r="Q280" s="415">
        <v>-0.65580000000000005</v>
      </c>
      <c r="R280" s="415">
        <v>-0.21279999999999999</v>
      </c>
      <c r="S280" s="415">
        <v>0.18440000000000001</v>
      </c>
      <c r="T280" s="415">
        <v>0.1139</v>
      </c>
      <c r="U280" s="415">
        <v>-5.8599999999999999E-2</v>
      </c>
      <c r="V280" s="415">
        <v>-5.6800000000000003E-2</v>
      </c>
      <c r="W280" s="415">
        <v>-5.3100000000000001E-2</v>
      </c>
      <c r="X280" s="416">
        <v>-5.1086999999999998</v>
      </c>
      <c r="Y280" s="418">
        <v>-0.27950000000000003</v>
      </c>
      <c r="Z280" s="418">
        <v>-0.27660000000000001</v>
      </c>
      <c r="AA280" s="418">
        <v>-0.1726</v>
      </c>
      <c r="AB280" s="419">
        <v>-1822.0217</v>
      </c>
      <c r="AC280" s="419">
        <v>-322.39879999999999</v>
      </c>
      <c r="AD280" s="419">
        <v>-257.62959999999998</v>
      </c>
      <c r="AE280" s="419">
        <v>-49.672199999999997</v>
      </c>
      <c r="AF280" s="420">
        <v>0.54359999999999997</v>
      </c>
      <c r="AG280" s="370"/>
    </row>
    <row r="281" spans="1:33">
      <c r="A281" s="370"/>
      <c r="B281" s="406">
        <f t="shared" si="5"/>
        <v>276</v>
      </c>
      <c r="C281" s="407">
        <v>-0.17249999999999999</v>
      </c>
      <c r="D281" s="407">
        <v>-2.0999999999999999E-3</v>
      </c>
      <c r="E281" s="407">
        <v>0.40460000000000002</v>
      </c>
      <c r="F281" s="407">
        <v>-1.6E-2</v>
      </c>
      <c r="G281" s="407">
        <v>5.1000000000000004E-3</v>
      </c>
      <c r="H281" s="409">
        <v>7.4000000000000003E-3</v>
      </c>
      <c r="I281" s="409">
        <v>-1.03E-2</v>
      </c>
      <c r="J281" s="407">
        <v>-1E-3</v>
      </c>
      <c r="K281" s="410">
        <v>-1.9040999999999999</v>
      </c>
      <c r="L281" s="422">
        <v>-1.9900000000000001E-2</v>
      </c>
      <c r="M281" s="412">
        <v>-1.75E-3</v>
      </c>
      <c r="N281" s="413">
        <v>-1.0000000000000001E-5</v>
      </c>
      <c r="O281" s="415">
        <v>-6.2542999999999997</v>
      </c>
      <c r="P281" s="415">
        <v>-1.2669999999999999</v>
      </c>
      <c r="Q281" s="415">
        <v>-0.65469999999999995</v>
      </c>
      <c r="R281" s="415">
        <v>-0.21240000000000001</v>
      </c>
      <c r="S281" s="415">
        <v>0.18410000000000001</v>
      </c>
      <c r="T281" s="415">
        <v>0.1137</v>
      </c>
      <c r="U281" s="415">
        <v>-5.8500000000000003E-2</v>
      </c>
      <c r="V281" s="415">
        <v>-5.6800000000000003E-2</v>
      </c>
      <c r="W281" s="415">
        <v>-5.2999999999999999E-2</v>
      </c>
      <c r="X281" s="416">
        <v>-5.1001000000000003</v>
      </c>
      <c r="Y281" s="418">
        <v>-0.27910000000000001</v>
      </c>
      <c r="Z281" s="418">
        <v>-0.2762</v>
      </c>
      <c r="AA281" s="418">
        <v>-0.17230000000000001</v>
      </c>
      <c r="AB281" s="419">
        <v>-2185.2046</v>
      </c>
      <c r="AC281" s="419">
        <v>-386.66239999999999</v>
      </c>
      <c r="AD281" s="419">
        <v>-308.9828</v>
      </c>
      <c r="AE281" s="419">
        <v>-59.573399999999999</v>
      </c>
      <c r="AF281" s="420">
        <v>0.55230000000000001</v>
      </c>
      <c r="AG281" s="370"/>
    </row>
    <row r="282" spans="1:33">
      <c r="A282" s="370"/>
      <c r="B282" s="406">
        <f t="shared" si="5"/>
        <v>277</v>
      </c>
      <c r="C282" s="407">
        <v>-0.1721</v>
      </c>
      <c r="D282" s="407">
        <v>-2.0999999999999999E-3</v>
      </c>
      <c r="E282" s="407">
        <v>0.40379999999999999</v>
      </c>
      <c r="F282" s="407">
        <v>-1.6E-2</v>
      </c>
      <c r="G282" s="407">
        <v>5.1000000000000004E-3</v>
      </c>
      <c r="H282" s="409">
        <v>7.3000000000000001E-3</v>
      </c>
      <c r="I282" s="409">
        <v>-1.03E-2</v>
      </c>
      <c r="J282" s="407">
        <v>-1E-3</v>
      </c>
      <c r="K282" s="410">
        <v>-1.9003000000000001</v>
      </c>
      <c r="L282" s="422">
        <v>-1.9800000000000002E-2</v>
      </c>
      <c r="M282" s="412">
        <v>-2.0400000000000001E-3</v>
      </c>
      <c r="N282" s="413">
        <v>-2.0000000000000002E-5</v>
      </c>
      <c r="O282" s="415">
        <v>-6.2419000000000002</v>
      </c>
      <c r="P282" s="415">
        <v>-1.2645</v>
      </c>
      <c r="Q282" s="415">
        <v>-0.65339999999999998</v>
      </c>
      <c r="R282" s="415">
        <v>-0.21199999999999999</v>
      </c>
      <c r="S282" s="415">
        <v>0.1837</v>
      </c>
      <c r="T282" s="415">
        <v>0.1135</v>
      </c>
      <c r="U282" s="415">
        <v>-5.8400000000000001E-2</v>
      </c>
      <c r="V282" s="415">
        <v>-5.6599999999999998E-2</v>
      </c>
      <c r="W282" s="415">
        <v>-5.2900000000000003E-2</v>
      </c>
      <c r="X282" s="416">
        <v>-5.09</v>
      </c>
      <c r="Y282" s="418">
        <v>-0.27850000000000003</v>
      </c>
      <c r="Z282" s="418">
        <v>-0.27560000000000001</v>
      </c>
      <c r="AA282" s="418">
        <v>-0.1719</v>
      </c>
      <c r="AB282" s="419">
        <v>-2547.7219</v>
      </c>
      <c r="AC282" s="419">
        <v>-450.8082</v>
      </c>
      <c r="AD282" s="419">
        <v>-360.24189999999999</v>
      </c>
      <c r="AE282" s="419">
        <v>-69.456400000000002</v>
      </c>
      <c r="AF282" s="420">
        <v>0.56089999999999995</v>
      </c>
      <c r="AG282" s="370"/>
    </row>
    <row r="283" spans="1:33">
      <c r="A283" s="370"/>
      <c r="B283" s="406">
        <f t="shared" si="5"/>
        <v>278</v>
      </c>
      <c r="C283" s="407">
        <v>-0.17169999999999999</v>
      </c>
      <c r="D283" s="407">
        <v>-2.0999999999999999E-3</v>
      </c>
      <c r="E283" s="407">
        <v>0.40279999999999999</v>
      </c>
      <c r="F283" s="407">
        <v>-1.5900000000000001E-2</v>
      </c>
      <c r="G283" s="407">
        <v>5.1000000000000004E-3</v>
      </c>
      <c r="H283" s="409">
        <v>7.3000000000000001E-3</v>
      </c>
      <c r="I283" s="409">
        <v>-1.03E-2</v>
      </c>
      <c r="J283" s="407">
        <v>-1E-3</v>
      </c>
      <c r="K283" s="410">
        <v>-1.8959999999999999</v>
      </c>
      <c r="L283" s="422">
        <v>-1.9800000000000002E-2</v>
      </c>
      <c r="M283" s="412">
        <v>-2.32E-3</v>
      </c>
      <c r="N283" s="413">
        <v>-2.0000000000000002E-5</v>
      </c>
      <c r="O283" s="415">
        <v>-6.2275999999999998</v>
      </c>
      <c r="P283" s="415">
        <v>-1.2616000000000001</v>
      </c>
      <c r="Q283" s="415">
        <v>-0.65190000000000003</v>
      </c>
      <c r="R283" s="415">
        <v>-0.21149999999999999</v>
      </c>
      <c r="S283" s="415">
        <v>0.18329999999999999</v>
      </c>
      <c r="T283" s="415">
        <v>0.1132</v>
      </c>
      <c r="U283" s="415">
        <v>-5.8200000000000002E-2</v>
      </c>
      <c r="V283" s="415">
        <v>-5.6500000000000002E-2</v>
      </c>
      <c r="W283" s="415">
        <v>-5.28E-2</v>
      </c>
      <c r="X283" s="416">
        <v>-5.0782999999999996</v>
      </c>
      <c r="Y283" s="418">
        <v>-0.27789999999999998</v>
      </c>
      <c r="Z283" s="418">
        <v>-0.27500000000000002</v>
      </c>
      <c r="AA283" s="418">
        <v>-0.1716</v>
      </c>
      <c r="AB283" s="419">
        <v>-2909.4630999999999</v>
      </c>
      <c r="AC283" s="419">
        <v>-514.81669999999997</v>
      </c>
      <c r="AD283" s="419">
        <v>-411.39120000000003</v>
      </c>
      <c r="AE283" s="419">
        <v>-79.318200000000004</v>
      </c>
      <c r="AF283" s="420">
        <v>0.5696</v>
      </c>
      <c r="AG283" s="370"/>
    </row>
    <row r="284" spans="1:33">
      <c r="A284" s="370"/>
      <c r="B284" s="406">
        <f t="shared" si="5"/>
        <v>279</v>
      </c>
      <c r="C284" s="407">
        <v>-0.17130000000000001</v>
      </c>
      <c r="D284" s="407">
        <v>-2.0999999999999999E-3</v>
      </c>
      <c r="E284" s="407">
        <v>0.40179999999999999</v>
      </c>
      <c r="F284" s="407">
        <v>-1.5900000000000001E-2</v>
      </c>
      <c r="G284" s="407">
        <v>5.0000000000000001E-3</v>
      </c>
      <c r="H284" s="409">
        <v>7.3000000000000001E-3</v>
      </c>
      <c r="I284" s="409">
        <v>-1.03E-2</v>
      </c>
      <c r="J284" s="407">
        <v>-1E-3</v>
      </c>
      <c r="K284" s="410">
        <v>-1.891</v>
      </c>
      <c r="L284" s="422">
        <v>-1.9699999999999999E-2</v>
      </c>
      <c r="M284" s="412">
        <v>-2.6099999999999999E-3</v>
      </c>
      <c r="N284" s="413">
        <v>-2.0000000000000002E-5</v>
      </c>
      <c r="O284" s="415">
        <v>-6.2112999999999996</v>
      </c>
      <c r="P284" s="415">
        <v>-1.2583</v>
      </c>
      <c r="Q284" s="415">
        <v>-0.6502</v>
      </c>
      <c r="R284" s="415">
        <v>-0.21099999999999999</v>
      </c>
      <c r="S284" s="415">
        <v>0.18279999999999999</v>
      </c>
      <c r="T284" s="415">
        <v>0.1129</v>
      </c>
      <c r="U284" s="415">
        <v>-5.8099999999999999E-2</v>
      </c>
      <c r="V284" s="415">
        <v>-5.6399999999999999E-2</v>
      </c>
      <c r="W284" s="415">
        <v>-5.2699999999999997E-2</v>
      </c>
      <c r="X284" s="416">
        <v>-5.0651000000000002</v>
      </c>
      <c r="Y284" s="418">
        <v>-0.2772</v>
      </c>
      <c r="Z284" s="418">
        <v>-0.27429999999999999</v>
      </c>
      <c r="AA284" s="418">
        <v>-0.1711</v>
      </c>
      <c r="AB284" s="419">
        <v>-3270.3180000000002</v>
      </c>
      <c r="AC284" s="419">
        <v>-578.66849999999999</v>
      </c>
      <c r="AD284" s="419">
        <v>-462.4153</v>
      </c>
      <c r="AE284" s="419">
        <v>-89.155900000000003</v>
      </c>
      <c r="AF284" s="420">
        <v>0.57820000000000005</v>
      </c>
      <c r="AG284" s="370"/>
    </row>
    <row r="285" spans="1:33">
      <c r="A285" s="370"/>
      <c r="B285" s="406">
        <f t="shared" si="5"/>
        <v>280</v>
      </c>
      <c r="C285" s="407">
        <v>-0.17080000000000001</v>
      </c>
      <c r="D285" s="407">
        <v>-2.0999999999999999E-3</v>
      </c>
      <c r="E285" s="407">
        <v>0.40060000000000001</v>
      </c>
      <c r="F285" s="407">
        <v>-1.5900000000000001E-2</v>
      </c>
      <c r="G285" s="407">
        <v>5.0000000000000001E-3</v>
      </c>
      <c r="H285" s="409">
        <v>7.3000000000000001E-3</v>
      </c>
      <c r="I285" s="409">
        <v>-1.0200000000000001E-2</v>
      </c>
      <c r="J285" s="407">
        <v>-1E-3</v>
      </c>
      <c r="K285" s="410">
        <v>-1.8855</v>
      </c>
      <c r="L285" s="422">
        <v>-1.9699999999999999E-2</v>
      </c>
      <c r="M285" s="412">
        <v>-2.8999999999999998E-3</v>
      </c>
      <c r="N285" s="413">
        <v>-2.0000000000000002E-5</v>
      </c>
      <c r="O285" s="415">
        <v>-6.1932</v>
      </c>
      <c r="P285" s="415">
        <v>-1.2546999999999999</v>
      </c>
      <c r="Q285" s="415">
        <v>-0.64829999999999999</v>
      </c>
      <c r="R285" s="415">
        <v>-0.2104</v>
      </c>
      <c r="S285" s="415">
        <v>0.18229999999999999</v>
      </c>
      <c r="T285" s="415">
        <v>0.11260000000000001</v>
      </c>
      <c r="U285" s="415">
        <v>-5.79E-2</v>
      </c>
      <c r="V285" s="415">
        <v>-5.62E-2</v>
      </c>
      <c r="W285" s="415">
        <v>-5.2499999999999998E-2</v>
      </c>
      <c r="X285" s="416">
        <v>-5.0503</v>
      </c>
      <c r="Y285" s="418">
        <v>-0.27629999999999999</v>
      </c>
      <c r="Z285" s="418">
        <v>-0.27350000000000002</v>
      </c>
      <c r="AA285" s="418">
        <v>-0.1706</v>
      </c>
      <c r="AB285" s="419">
        <v>-3630.1768000000002</v>
      </c>
      <c r="AC285" s="419">
        <v>-642.34389999999996</v>
      </c>
      <c r="AD285" s="419">
        <v>-513.29849999999999</v>
      </c>
      <c r="AE285" s="419">
        <v>-98.966399999999993</v>
      </c>
      <c r="AF285" s="420">
        <v>0.58679999999999999</v>
      </c>
      <c r="AG285" s="370"/>
    </row>
    <row r="286" spans="1:33">
      <c r="A286" s="370"/>
      <c r="B286" s="406">
        <f t="shared" si="5"/>
        <v>281</v>
      </c>
      <c r="C286" s="407">
        <v>-0.17019999999999999</v>
      </c>
      <c r="D286" s="407">
        <v>-2.0999999999999999E-3</v>
      </c>
      <c r="E286" s="407">
        <v>0.39929999999999999</v>
      </c>
      <c r="F286" s="407">
        <v>-1.5800000000000002E-2</v>
      </c>
      <c r="G286" s="407">
        <v>5.0000000000000001E-3</v>
      </c>
      <c r="H286" s="409">
        <v>7.3000000000000001E-3</v>
      </c>
      <c r="I286" s="409">
        <v>-1.0200000000000001E-2</v>
      </c>
      <c r="J286" s="407">
        <v>-1E-3</v>
      </c>
      <c r="K286" s="410">
        <v>-1.8794</v>
      </c>
      <c r="L286" s="422">
        <v>-1.9599999999999999E-2</v>
      </c>
      <c r="M286" s="412">
        <v>-3.1900000000000001E-3</v>
      </c>
      <c r="N286" s="413">
        <v>-3.0000000000000001E-5</v>
      </c>
      <c r="O286" s="415">
        <v>-6.1731999999999996</v>
      </c>
      <c r="P286" s="415">
        <v>-1.2505999999999999</v>
      </c>
      <c r="Q286" s="415">
        <v>-0.6462</v>
      </c>
      <c r="R286" s="415">
        <v>-0.2097</v>
      </c>
      <c r="S286" s="415">
        <v>0.1817</v>
      </c>
      <c r="T286" s="415">
        <v>0.11219999999999999</v>
      </c>
      <c r="U286" s="415">
        <v>-5.7700000000000001E-2</v>
      </c>
      <c r="V286" s="415">
        <v>-5.6000000000000001E-2</v>
      </c>
      <c r="W286" s="415">
        <v>-5.2299999999999999E-2</v>
      </c>
      <c r="X286" s="416">
        <v>-5.0339999999999998</v>
      </c>
      <c r="Y286" s="418">
        <v>-0.27550000000000002</v>
      </c>
      <c r="Z286" s="418">
        <v>-0.27260000000000001</v>
      </c>
      <c r="AA286" s="418">
        <v>-0.1701</v>
      </c>
      <c r="AB286" s="419">
        <v>-3988.9297999999999</v>
      </c>
      <c r="AC286" s="419">
        <v>-705.82370000000003</v>
      </c>
      <c r="AD286" s="419">
        <v>-564.02530000000002</v>
      </c>
      <c r="AE286" s="419">
        <v>-108.74679999999999</v>
      </c>
      <c r="AF286" s="420">
        <v>0.59540000000000004</v>
      </c>
      <c r="AG286" s="370"/>
    </row>
    <row r="287" spans="1:33">
      <c r="A287" s="370"/>
      <c r="B287" s="406">
        <f t="shared" si="5"/>
        <v>282</v>
      </c>
      <c r="C287" s="407">
        <v>-0.1696</v>
      </c>
      <c r="D287" s="407">
        <v>-2.0999999999999999E-3</v>
      </c>
      <c r="E287" s="407">
        <v>0.39789999999999998</v>
      </c>
      <c r="F287" s="407">
        <v>-1.5699999999999999E-2</v>
      </c>
      <c r="G287" s="407">
        <v>5.0000000000000001E-3</v>
      </c>
      <c r="H287" s="409">
        <v>7.1999999999999998E-3</v>
      </c>
      <c r="I287" s="409">
        <v>-1.0200000000000001E-2</v>
      </c>
      <c r="J287" s="407">
        <v>-1E-3</v>
      </c>
      <c r="K287" s="410">
        <v>-1.8728</v>
      </c>
      <c r="L287" s="422">
        <v>-1.9599999999999999E-2</v>
      </c>
      <c r="M287" s="412">
        <v>-3.47E-3</v>
      </c>
      <c r="N287" s="413">
        <v>-3.0000000000000001E-5</v>
      </c>
      <c r="O287" s="415">
        <v>-6.1513</v>
      </c>
      <c r="P287" s="415">
        <v>-1.2462</v>
      </c>
      <c r="Q287" s="415">
        <v>-0.64390000000000003</v>
      </c>
      <c r="R287" s="415">
        <v>-0.2089</v>
      </c>
      <c r="S287" s="415">
        <v>0.18110000000000001</v>
      </c>
      <c r="T287" s="415">
        <v>0.1118</v>
      </c>
      <c r="U287" s="415">
        <v>-5.7500000000000002E-2</v>
      </c>
      <c r="V287" s="415">
        <v>-5.5800000000000002E-2</v>
      </c>
      <c r="W287" s="415">
        <v>-5.2200000000000003E-2</v>
      </c>
      <c r="X287" s="416">
        <v>-5.0160999999999998</v>
      </c>
      <c r="Y287" s="418">
        <v>-0.27450000000000002</v>
      </c>
      <c r="Z287" s="418">
        <v>-0.27160000000000001</v>
      </c>
      <c r="AA287" s="418">
        <v>-0.16950000000000001</v>
      </c>
      <c r="AB287" s="419">
        <v>-4346.4677000000001</v>
      </c>
      <c r="AC287" s="419">
        <v>-769.08839999999998</v>
      </c>
      <c r="AD287" s="419">
        <v>-614.58029999999997</v>
      </c>
      <c r="AE287" s="419">
        <v>-118.4941</v>
      </c>
      <c r="AF287" s="420">
        <v>0.60399999999999998</v>
      </c>
      <c r="AG287" s="370"/>
    </row>
    <row r="288" spans="1:33">
      <c r="A288" s="370"/>
      <c r="B288" s="406">
        <f t="shared" si="5"/>
        <v>283</v>
      </c>
      <c r="C288" s="407">
        <v>-0.16900000000000001</v>
      </c>
      <c r="D288" s="407">
        <v>-2E-3</v>
      </c>
      <c r="E288" s="407">
        <v>0.39639999999999997</v>
      </c>
      <c r="F288" s="407">
        <v>-1.5699999999999999E-2</v>
      </c>
      <c r="G288" s="407">
        <v>5.0000000000000001E-3</v>
      </c>
      <c r="H288" s="409">
        <v>7.1999999999999998E-3</v>
      </c>
      <c r="I288" s="409">
        <v>-1.01E-2</v>
      </c>
      <c r="J288" s="407">
        <v>-1E-3</v>
      </c>
      <c r="K288" s="410">
        <v>-1.8654999999999999</v>
      </c>
      <c r="L288" s="422">
        <v>-1.95E-2</v>
      </c>
      <c r="M288" s="412">
        <v>-3.7599999999999999E-3</v>
      </c>
      <c r="N288" s="413">
        <v>-3.0000000000000001E-5</v>
      </c>
      <c r="O288" s="415">
        <v>-6.1276000000000002</v>
      </c>
      <c r="P288" s="415">
        <v>-1.2414000000000001</v>
      </c>
      <c r="Q288" s="415">
        <v>-0.64139999999999997</v>
      </c>
      <c r="R288" s="415">
        <v>-0.20810000000000001</v>
      </c>
      <c r="S288" s="415">
        <v>0.1804</v>
      </c>
      <c r="T288" s="415">
        <v>0.1114</v>
      </c>
      <c r="U288" s="415">
        <v>-5.7299999999999997E-2</v>
      </c>
      <c r="V288" s="415">
        <v>-5.5599999999999997E-2</v>
      </c>
      <c r="W288" s="415">
        <v>-5.1999999999999998E-2</v>
      </c>
      <c r="X288" s="416">
        <v>-4.9968000000000004</v>
      </c>
      <c r="Y288" s="418">
        <v>-0.27339999999999998</v>
      </c>
      <c r="Z288" s="418">
        <v>-0.27060000000000001</v>
      </c>
      <c r="AA288" s="418">
        <v>-0.16880000000000001</v>
      </c>
      <c r="AB288" s="419">
        <v>-4702.6815999999999</v>
      </c>
      <c r="AC288" s="419">
        <v>-832.11890000000005</v>
      </c>
      <c r="AD288" s="419">
        <v>-664.94809999999995</v>
      </c>
      <c r="AE288" s="419">
        <v>-128.20519999999999</v>
      </c>
      <c r="AF288" s="420">
        <v>0.61250000000000004</v>
      </c>
      <c r="AG288" s="370"/>
    </row>
    <row r="289" spans="1:33">
      <c r="A289" s="370"/>
      <c r="B289" s="406">
        <f t="shared" si="5"/>
        <v>284</v>
      </c>
      <c r="C289" s="407">
        <v>-0.16819999999999999</v>
      </c>
      <c r="D289" s="407">
        <v>-2E-3</v>
      </c>
      <c r="E289" s="407">
        <v>0.3947</v>
      </c>
      <c r="F289" s="407">
        <v>-1.5599999999999999E-2</v>
      </c>
      <c r="G289" s="407">
        <v>4.8999999999999998E-3</v>
      </c>
      <c r="H289" s="409">
        <v>7.1999999999999998E-3</v>
      </c>
      <c r="I289" s="409">
        <v>-1.01E-2</v>
      </c>
      <c r="J289" s="407">
        <v>-1E-3</v>
      </c>
      <c r="K289" s="410">
        <v>-1.8576999999999999</v>
      </c>
      <c r="L289" s="422">
        <v>-1.9400000000000001E-2</v>
      </c>
      <c r="M289" s="412">
        <v>-4.0400000000000002E-3</v>
      </c>
      <c r="N289" s="413">
        <v>-3.0000000000000001E-5</v>
      </c>
      <c r="O289" s="415">
        <v>-6.1020000000000003</v>
      </c>
      <c r="P289" s="415">
        <v>-1.2362</v>
      </c>
      <c r="Q289" s="415">
        <v>-0.63880000000000003</v>
      </c>
      <c r="R289" s="415">
        <v>-0.20730000000000001</v>
      </c>
      <c r="S289" s="415">
        <v>0.17960000000000001</v>
      </c>
      <c r="T289" s="415">
        <v>0.1109</v>
      </c>
      <c r="U289" s="415">
        <v>-5.7000000000000002E-2</v>
      </c>
      <c r="V289" s="415">
        <v>-5.5399999999999998E-2</v>
      </c>
      <c r="W289" s="415">
        <v>-5.1700000000000003E-2</v>
      </c>
      <c r="X289" s="416">
        <v>-4.9759000000000002</v>
      </c>
      <c r="Y289" s="418">
        <v>-0.27229999999999999</v>
      </c>
      <c r="Z289" s="418">
        <v>-0.26939999999999997</v>
      </c>
      <c r="AA289" s="418">
        <v>-0.1681</v>
      </c>
      <c r="AB289" s="419">
        <v>-5057.4630999999999</v>
      </c>
      <c r="AC289" s="419">
        <v>-894.89589999999998</v>
      </c>
      <c r="AD289" s="419">
        <v>-715.11339999999996</v>
      </c>
      <c r="AE289" s="419">
        <v>-137.87729999999999</v>
      </c>
      <c r="AF289" s="420">
        <v>0.621</v>
      </c>
      <c r="AG289" s="370"/>
    </row>
    <row r="290" spans="1:33">
      <c r="A290" s="370"/>
      <c r="B290" s="406">
        <f t="shared" si="5"/>
        <v>285</v>
      </c>
      <c r="C290" s="407">
        <v>-0.16750000000000001</v>
      </c>
      <c r="D290" s="407">
        <v>-2E-3</v>
      </c>
      <c r="E290" s="407">
        <v>0.39290000000000003</v>
      </c>
      <c r="F290" s="407">
        <v>-1.5599999999999999E-2</v>
      </c>
      <c r="G290" s="407">
        <v>4.8999999999999998E-3</v>
      </c>
      <c r="H290" s="409">
        <v>7.1000000000000004E-3</v>
      </c>
      <c r="I290" s="409">
        <v>-0.01</v>
      </c>
      <c r="J290" s="407">
        <v>-1E-3</v>
      </c>
      <c r="K290" s="410">
        <v>-1.8493999999999999</v>
      </c>
      <c r="L290" s="422">
        <v>-1.9300000000000001E-2</v>
      </c>
      <c r="M290" s="412">
        <v>-4.3200000000000001E-3</v>
      </c>
      <c r="N290" s="413">
        <v>-4.0000000000000003E-5</v>
      </c>
      <c r="O290" s="415">
        <v>-6.0744999999999996</v>
      </c>
      <c r="P290" s="415">
        <v>-1.2305999999999999</v>
      </c>
      <c r="Q290" s="415">
        <v>-0.63590000000000002</v>
      </c>
      <c r="R290" s="415">
        <v>-0.20630000000000001</v>
      </c>
      <c r="S290" s="415">
        <v>0.17879999999999999</v>
      </c>
      <c r="T290" s="415">
        <v>0.1104</v>
      </c>
      <c r="U290" s="415">
        <v>-5.6800000000000003E-2</v>
      </c>
      <c r="V290" s="415">
        <v>-5.5100000000000003E-2</v>
      </c>
      <c r="W290" s="415">
        <v>-5.1499999999999997E-2</v>
      </c>
      <c r="X290" s="416">
        <v>-4.9535</v>
      </c>
      <c r="Y290" s="418">
        <v>-0.27100000000000002</v>
      </c>
      <c r="Z290" s="418">
        <v>-0.26819999999999999</v>
      </c>
      <c r="AA290" s="418">
        <v>-0.1673</v>
      </c>
      <c r="AB290" s="419">
        <v>-5410.7039999999997</v>
      </c>
      <c r="AC290" s="419">
        <v>-957.40039999999999</v>
      </c>
      <c r="AD290" s="419">
        <v>-765.06079999999997</v>
      </c>
      <c r="AE290" s="419">
        <v>-147.50739999999999</v>
      </c>
      <c r="AF290" s="420">
        <v>0.62939999999999996</v>
      </c>
      <c r="AG290" s="370"/>
    </row>
    <row r="291" spans="1:33">
      <c r="A291" s="370"/>
      <c r="B291" s="406">
        <f t="shared" si="5"/>
        <v>286</v>
      </c>
      <c r="C291" s="407">
        <v>-0.16669999999999999</v>
      </c>
      <c r="D291" s="407">
        <v>-2E-3</v>
      </c>
      <c r="E291" s="407">
        <v>0.39100000000000001</v>
      </c>
      <c r="F291" s="407">
        <v>-1.55E-2</v>
      </c>
      <c r="G291" s="407">
        <v>4.8999999999999998E-3</v>
      </c>
      <c r="H291" s="409">
        <v>7.1000000000000004E-3</v>
      </c>
      <c r="I291" s="409">
        <v>-0.01</v>
      </c>
      <c r="J291" s="407">
        <v>-1E-3</v>
      </c>
      <c r="K291" s="410">
        <v>-1.8404</v>
      </c>
      <c r="L291" s="422">
        <v>-1.9199999999999998E-2</v>
      </c>
      <c r="M291" s="412">
        <v>-4.5999999999999999E-3</v>
      </c>
      <c r="N291" s="413">
        <v>-4.0000000000000003E-5</v>
      </c>
      <c r="O291" s="415">
        <v>-6.0452000000000004</v>
      </c>
      <c r="P291" s="415">
        <v>-1.2246999999999999</v>
      </c>
      <c r="Q291" s="415">
        <v>-0.63280000000000003</v>
      </c>
      <c r="R291" s="415">
        <v>-0.20530000000000001</v>
      </c>
      <c r="S291" s="415">
        <v>0.1779</v>
      </c>
      <c r="T291" s="415">
        <v>0.1099</v>
      </c>
      <c r="U291" s="415">
        <v>-5.6500000000000002E-2</v>
      </c>
      <c r="V291" s="415">
        <v>-5.4899999999999997E-2</v>
      </c>
      <c r="W291" s="415">
        <v>-5.1299999999999998E-2</v>
      </c>
      <c r="X291" s="416">
        <v>-4.9295</v>
      </c>
      <c r="Y291" s="418">
        <v>-0.2697</v>
      </c>
      <c r="Z291" s="418">
        <v>-0.26690000000000003</v>
      </c>
      <c r="AA291" s="418">
        <v>-0.16650000000000001</v>
      </c>
      <c r="AB291" s="419">
        <v>-5762.2968000000001</v>
      </c>
      <c r="AC291" s="419">
        <v>-1019.6132</v>
      </c>
      <c r="AD291" s="419">
        <v>-814.77520000000004</v>
      </c>
      <c r="AE291" s="419">
        <v>-157.0926</v>
      </c>
      <c r="AF291" s="420">
        <v>0.63780000000000003</v>
      </c>
      <c r="AG291" s="370"/>
    </row>
    <row r="292" spans="1:33">
      <c r="A292" s="370"/>
      <c r="B292" s="406">
        <f t="shared" si="5"/>
        <v>287</v>
      </c>
      <c r="C292" s="407">
        <v>-0.1658</v>
      </c>
      <c r="D292" s="407">
        <v>-2E-3</v>
      </c>
      <c r="E292" s="407">
        <v>0.38900000000000001</v>
      </c>
      <c r="F292" s="407">
        <v>-1.54E-2</v>
      </c>
      <c r="G292" s="407">
        <v>4.8999999999999998E-3</v>
      </c>
      <c r="H292" s="409">
        <v>7.1000000000000004E-3</v>
      </c>
      <c r="I292" s="409">
        <v>-9.9000000000000008E-3</v>
      </c>
      <c r="J292" s="407">
        <v>-1E-3</v>
      </c>
      <c r="K292" s="410">
        <v>-1.8309</v>
      </c>
      <c r="L292" s="422">
        <v>-1.9099999999999999E-2</v>
      </c>
      <c r="M292" s="412">
        <v>-4.8799999999999998E-3</v>
      </c>
      <c r="N292" s="413">
        <v>-4.0000000000000003E-5</v>
      </c>
      <c r="O292" s="415">
        <v>-6.0140000000000002</v>
      </c>
      <c r="P292" s="415">
        <v>-1.2183999999999999</v>
      </c>
      <c r="Q292" s="415">
        <v>-0.62949999999999995</v>
      </c>
      <c r="R292" s="415">
        <v>-0.20430000000000001</v>
      </c>
      <c r="S292" s="415">
        <v>0.17699999999999999</v>
      </c>
      <c r="T292" s="415">
        <v>0.10929999999999999</v>
      </c>
      <c r="U292" s="415">
        <v>-5.62E-2</v>
      </c>
      <c r="V292" s="415">
        <v>-5.4600000000000003E-2</v>
      </c>
      <c r="W292" s="415">
        <v>-5.0999999999999997E-2</v>
      </c>
      <c r="X292" s="416">
        <v>-4.9040999999999997</v>
      </c>
      <c r="Y292" s="418">
        <v>-0.26829999999999998</v>
      </c>
      <c r="Z292" s="418">
        <v>-0.2656</v>
      </c>
      <c r="AA292" s="418">
        <v>-0.16569999999999999</v>
      </c>
      <c r="AB292" s="419">
        <v>-6112.1342999999997</v>
      </c>
      <c r="AC292" s="419">
        <v>-1081.5154</v>
      </c>
      <c r="AD292" s="419">
        <v>-864.2414</v>
      </c>
      <c r="AE292" s="419">
        <v>-166.62989999999999</v>
      </c>
      <c r="AF292" s="420">
        <v>0.6462</v>
      </c>
      <c r="AG292" s="370"/>
    </row>
    <row r="293" spans="1:33">
      <c r="A293" s="370"/>
      <c r="B293" s="406">
        <f t="shared" si="5"/>
        <v>288</v>
      </c>
      <c r="C293" s="407">
        <v>-0.16489999999999999</v>
      </c>
      <c r="D293" s="407">
        <v>-2E-3</v>
      </c>
      <c r="E293" s="407">
        <v>0.38690000000000002</v>
      </c>
      <c r="F293" s="407">
        <v>-1.5299999999999999E-2</v>
      </c>
      <c r="G293" s="407">
        <v>4.8999999999999998E-3</v>
      </c>
      <c r="H293" s="409">
        <v>7.0000000000000001E-3</v>
      </c>
      <c r="I293" s="409">
        <v>-9.9000000000000008E-3</v>
      </c>
      <c r="J293" s="407">
        <v>-1E-3</v>
      </c>
      <c r="K293" s="410">
        <v>-1.8209</v>
      </c>
      <c r="L293" s="422">
        <v>-1.9E-2</v>
      </c>
      <c r="M293" s="412">
        <v>-5.1599999999999997E-3</v>
      </c>
      <c r="N293" s="413">
        <v>-4.0000000000000003E-5</v>
      </c>
      <c r="O293" s="415">
        <v>-5.9809999999999999</v>
      </c>
      <c r="P293" s="415">
        <v>-1.2117</v>
      </c>
      <c r="Q293" s="415">
        <v>-0.62609999999999999</v>
      </c>
      <c r="R293" s="415">
        <v>-0.20319999999999999</v>
      </c>
      <c r="S293" s="415">
        <v>0.17610000000000001</v>
      </c>
      <c r="T293" s="415">
        <v>0.1087</v>
      </c>
      <c r="U293" s="415">
        <v>-5.5899999999999998E-2</v>
      </c>
      <c r="V293" s="415">
        <v>-5.4300000000000001E-2</v>
      </c>
      <c r="W293" s="415">
        <v>-5.0700000000000002E-2</v>
      </c>
      <c r="X293" s="416">
        <v>-4.8772000000000002</v>
      </c>
      <c r="Y293" s="418">
        <v>-0.26690000000000003</v>
      </c>
      <c r="Z293" s="418">
        <v>-0.2641</v>
      </c>
      <c r="AA293" s="418">
        <v>-0.1648</v>
      </c>
      <c r="AB293" s="419">
        <v>-6460.11</v>
      </c>
      <c r="AC293" s="419">
        <v>-1143.0881999999999</v>
      </c>
      <c r="AD293" s="419">
        <v>-913.4443</v>
      </c>
      <c r="AE293" s="419">
        <v>-176.1165</v>
      </c>
      <c r="AF293" s="420">
        <v>0.65449999999999997</v>
      </c>
      <c r="AG293" s="370"/>
    </row>
    <row r="294" spans="1:33">
      <c r="A294" s="370"/>
      <c r="B294" s="406">
        <f t="shared" si="5"/>
        <v>289</v>
      </c>
      <c r="C294" s="407">
        <v>-0.16400000000000001</v>
      </c>
      <c r="D294" s="407">
        <v>-2E-3</v>
      </c>
      <c r="E294" s="407">
        <v>0.3846</v>
      </c>
      <c r="F294" s="407">
        <v>-1.52E-2</v>
      </c>
      <c r="G294" s="407">
        <v>4.7999999999999996E-3</v>
      </c>
      <c r="H294" s="409">
        <v>7.0000000000000001E-3</v>
      </c>
      <c r="I294" s="409">
        <v>-9.7999999999999997E-3</v>
      </c>
      <c r="J294" s="407">
        <v>-8.9999999999999998E-4</v>
      </c>
      <c r="K294" s="410">
        <v>-1.8103</v>
      </c>
      <c r="L294" s="422">
        <v>-1.89E-2</v>
      </c>
      <c r="M294" s="412">
        <v>-5.4400000000000004E-3</v>
      </c>
      <c r="N294" s="413">
        <v>-5.0000000000000002E-5</v>
      </c>
      <c r="O294" s="415">
        <v>-5.9462000000000002</v>
      </c>
      <c r="P294" s="415">
        <v>-1.2045999999999999</v>
      </c>
      <c r="Q294" s="415">
        <v>-0.62239999999999995</v>
      </c>
      <c r="R294" s="415">
        <v>-0.20200000000000001</v>
      </c>
      <c r="S294" s="415">
        <v>0.17499999999999999</v>
      </c>
      <c r="T294" s="415">
        <v>0.1081</v>
      </c>
      <c r="U294" s="415">
        <v>-5.5599999999999997E-2</v>
      </c>
      <c r="V294" s="415">
        <v>-5.3999999999999999E-2</v>
      </c>
      <c r="W294" s="415">
        <v>-5.04E-2</v>
      </c>
      <c r="X294" s="416">
        <v>-4.8487999999999998</v>
      </c>
      <c r="Y294" s="418">
        <v>-0.26529999999999998</v>
      </c>
      <c r="Z294" s="418">
        <v>-0.2626</v>
      </c>
      <c r="AA294" s="418">
        <v>-0.1638</v>
      </c>
      <c r="AB294" s="419">
        <v>-6806.1178</v>
      </c>
      <c r="AC294" s="419">
        <v>-1204.3126999999999</v>
      </c>
      <c r="AD294" s="419">
        <v>-962.36900000000003</v>
      </c>
      <c r="AE294" s="419">
        <v>-185.54939999999999</v>
      </c>
      <c r="AF294" s="420">
        <v>0.66279999999999994</v>
      </c>
      <c r="AG294" s="370"/>
    </row>
    <row r="295" spans="1:33">
      <c r="A295" s="370"/>
      <c r="B295" s="406">
        <f t="shared" si="5"/>
        <v>290</v>
      </c>
      <c r="C295" s="407">
        <v>-0.16289999999999999</v>
      </c>
      <c r="D295" s="407">
        <v>-2E-3</v>
      </c>
      <c r="E295" s="407">
        <v>0.38229999999999997</v>
      </c>
      <c r="F295" s="407">
        <v>-1.5100000000000001E-2</v>
      </c>
      <c r="G295" s="407">
        <v>4.7999999999999996E-3</v>
      </c>
      <c r="H295" s="409">
        <v>7.0000000000000001E-3</v>
      </c>
      <c r="I295" s="409">
        <v>-9.7999999999999997E-3</v>
      </c>
      <c r="J295" s="407">
        <v>-8.9999999999999998E-4</v>
      </c>
      <c r="K295" s="410">
        <v>-1.7990999999999999</v>
      </c>
      <c r="L295" s="422">
        <v>-1.8800000000000001E-2</v>
      </c>
      <c r="M295" s="412">
        <v>-5.7099999999999998E-3</v>
      </c>
      <c r="N295" s="413">
        <v>-5.0000000000000002E-5</v>
      </c>
      <c r="O295" s="415">
        <v>-5.9095000000000004</v>
      </c>
      <c r="P295" s="415">
        <v>-1.1972</v>
      </c>
      <c r="Q295" s="415">
        <v>-0.61860000000000004</v>
      </c>
      <c r="R295" s="415">
        <v>-0.20069999999999999</v>
      </c>
      <c r="S295" s="415">
        <v>0.17399999999999999</v>
      </c>
      <c r="T295" s="415">
        <v>0.1074</v>
      </c>
      <c r="U295" s="415">
        <v>-5.5199999999999999E-2</v>
      </c>
      <c r="V295" s="415">
        <v>-5.3600000000000002E-2</v>
      </c>
      <c r="W295" s="415">
        <v>-5.0099999999999999E-2</v>
      </c>
      <c r="X295" s="416">
        <v>-4.8189000000000002</v>
      </c>
      <c r="Y295" s="418">
        <v>-0.26369999999999999</v>
      </c>
      <c r="Z295" s="418">
        <v>-0.26090000000000002</v>
      </c>
      <c r="AA295" s="418">
        <v>-0.1628</v>
      </c>
      <c r="AB295" s="419">
        <v>-7150.0524999999998</v>
      </c>
      <c r="AC295" s="419">
        <v>-1265.1704999999999</v>
      </c>
      <c r="AD295" s="419">
        <v>-1011.0006</v>
      </c>
      <c r="AE295" s="419">
        <v>-194.92580000000001</v>
      </c>
      <c r="AF295" s="420">
        <v>0.67100000000000004</v>
      </c>
      <c r="AG295" s="370"/>
    </row>
    <row r="296" spans="1:33">
      <c r="A296" s="370"/>
      <c r="B296" s="406">
        <f t="shared" si="5"/>
        <v>291</v>
      </c>
      <c r="C296" s="407">
        <v>-0.16189999999999999</v>
      </c>
      <c r="D296" s="407">
        <v>-2E-3</v>
      </c>
      <c r="E296" s="407">
        <v>0.37980000000000003</v>
      </c>
      <c r="F296" s="407">
        <v>-1.4999999999999999E-2</v>
      </c>
      <c r="G296" s="407">
        <v>4.7999999999999996E-3</v>
      </c>
      <c r="H296" s="409">
        <v>6.8999999999999999E-3</v>
      </c>
      <c r="I296" s="409">
        <v>-9.7000000000000003E-3</v>
      </c>
      <c r="J296" s="407">
        <v>-8.9999999999999998E-4</v>
      </c>
      <c r="K296" s="410">
        <v>-1.7874000000000001</v>
      </c>
      <c r="L296" s="422">
        <v>-1.8700000000000001E-2</v>
      </c>
      <c r="M296" s="412">
        <v>-5.9800000000000001E-3</v>
      </c>
      <c r="N296" s="413">
        <v>-5.0000000000000002E-5</v>
      </c>
      <c r="O296" s="415">
        <v>-5.8711000000000002</v>
      </c>
      <c r="P296" s="415">
        <v>-1.1894</v>
      </c>
      <c r="Q296" s="415">
        <v>-0.61460000000000004</v>
      </c>
      <c r="R296" s="415">
        <v>-0.19939999999999999</v>
      </c>
      <c r="S296" s="415">
        <v>0.17280000000000001</v>
      </c>
      <c r="T296" s="415">
        <v>0.1067</v>
      </c>
      <c r="U296" s="415">
        <v>-5.4899999999999997E-2</v>
      </c>
      <c r="V296" s="415">
        <v>-5.33E-2</v>
      </c>
      <c r="W296" s="415">
        <v>-4.9799999999999997E-2</v>
      </c>
      <c r="X296" s="416">
        <v>-4.7876000000000003</v>
      </c>
      <c r="Y296" s="418">
        <v>-0.26200000000000001</v>
      </c>
      <c r="Z296" s="418">
        <v>-0.25919999999999999</v>
      </c>
      <c r="AA296" s="418">
        <v>-0.16170000000000001</v>
      </c>
      <c r="AB296" s="419">
        <v>-7491.8091999999997</v>
      </c>
      <c r="AC296" s="419">
        <v>-1325.6428000000001</v>
      </c>
      <c r="AD296" s="419">
        <v>-1059.3242</v>
      </c>
      <c r="AE296" s="419">
        <v>-204.24289999999999</v>
      </c>
      <c r="AF296" s="420">
        <v>0.67920000000000003</v>
      </c>
      <c r="AG296" s="370"/>
    </row>
    <row r="297" spans="1:33">
      <c r="A297" s="370"/>
      <c r="B297" s="406">
        <f t="shared" si="5"/>
        <v>292</v>
      </c>
      <c r="C297" s="407">
        <v>-0.1608</v>
      </c>
      <c r="D297" s="407">
        <v>-1.9E-3</v>
      </c>
      <c r="E297" s="407">
        <v>0.37719999999999998</v>
      </c>
      <c r="F297" s="407">
        <v>-1.49E-2</v>
      </c>
      <c r="G297" s="407">
        <v>4.7000000000000002E-3</v>
      </c>
      <c r="H297" s="409">
        <v>6.8999999999999999E-3</v>
      </c>
      <c r="I297" s="409">
        <v>-9.5999999999999992E-3</v>
      </c>
      <c r="J297" s="407">
        <v>-8.9999999999999998E-4</v>
      </c>
      <c r="K297" s="410">
        <v>-1.7751999999999999</v>
      </c>
      <c r="L297" s="422">
        <v>-1.8499999999999999E-2</v>
      </c>
      <c r="M297" s="412">
        <v>-6.2599999999999999E-3</v>
      </c>
      <c r="N297" s="413">
        <v>-5.0000000000000002E-5</v>
      </c>
      <c r="O297" s="415">
        <v>-5.8308</v>
      </c>
      <c r="P297" s="415">
        <v>-1.1813</v>
      </c>
      <c r="Q297" s="415">
        <v>-0.61040000000000005</v>
      </c>
      <c r="R297" s="415">
        <v>-0.1981</v>
      </c>
      <c r="S297" s="415">
        <v>0.1716</v>
      </c>
      <c r="T297" s="415">
        <v>0.106</v>
      </c>
      <c r="U297" s="415">
        <v>-5.45E-2</v>
      </c>
      <c r="V297" s="415">
        <v>-5.2900000000000003E-2</v>
      </c>
      <c r="W297" s="415">
        <v>-4.9399999999999999E-2</v>
      </c>
      <c r="X297" s="416">
        <v>-4.7548000000000004</v>
      </c>
      <c r="Y297" s="418">
        <v>-0.26019999999999999</v>
      </c>
      <c r="Z297" s="418">
        <v>-0.25750000000000001</v>
      </c>
      <c r="AA297" s="418">
        <v>-0.16059999999999999</v>
      </c>
      <c r="AB297" s="419">
        <v>-7831.2838000000002</v>
      </c>
      <c r="AC297" s="419">
        <v>-1385.7113999999999</v>
      </c>
      <c r="AD297" s="419">
        <v>-1107.3251</v>
      </c>
      <c r="AE297" s="419">
        <v>-213.49770000000001</v>
      </c>
      <c r="AF297" s="420">
        <v>0.68730000000000002</v>
      </c>
      <c r="AG297" s="370"/>
    </row>
    <row r="298" spans="1:33">
      <c r="A298" s="370"/>
      <c r="B298" s="406">
        <f t="shared" si="5"/>
        <v>293</v>
      </c>
      <c r="C298" s="407">
        <v>-0.15959999999999999</v>
      </c>
      <c r="D298" s="407">
        <v>-1.9E-3</v>
      </c>
      <c r="E298" s="407">
        <v>0.3745</v>
      </c>
      <c r="F298" s="407">
        <v>-1.4800000000000001E-2</v>
      </c>
      <c r="G298" s="407">
        <v>4.7000000000000002E-3</v>
      </c>
      <c r="H298" s="409">
        <v>6.7999999999999996E-3</v>
      </c>
      <c r="I298" s="409">
        <v>-9.5999999999999992E-3</v>
      </c>
      <c r="J298" s="407">
        <v>-8.9999999999999998E-4</v>
      </c>
      <c r="K298" s="410">
        <v>-1.7624</v>
      </c>
      <c r="L298" s="422">
        <v>-1.84E-2</v>
      </c>
      <c r="M298" s="412">
        <v>-6.5300000000000002E-3</v>
      </c>
      <c r="N298" s="413">
        <v>-5.0000000000000002E-5</v>
      </c>
      <c r="O298" s="415">
        <v>-5.7888000000000002</v>
      </c>
      <c r="P298" s="415">
        <v>-1.1727000000000001</v>
      </c>
      <c r="Q298" s="415">
        <v>-0.60599999999999998</v>
      </c>
      <c r="R298" s="415">
        <v>-0.1966</v>
      </c>
      <c r="S298" s="415">
        <v>0.1704</v>
      </c>
      <c r="T298" s="415">
        <v>0.1052</v>
      </c>
      <c r="U298" s="415">
        <v>-5.4100000000000002E-2</v>
      </c>
      <c r="V298" s="415">
        <v>-5.2499999999999998E-2</v>
      </c>
      <c r="W298" s="415">
        <v>-4.9099999999999998E-2</v>
      </c>
      <c r="X298" s="416">
        <v>-4.7205000000000004</v>
      </c>
      <c r="Y298" s="418">
        <v>-0.25829999999999997</v>
      </c>
      <c r="Z298" s="418">
        <v>-0.25559999999999999</v>
      </c>
      <c r="AA298" s="418">
        <v>-0.1595</v>
      </c>
      <c r="AB298" s="419">
        <v>-8168.3729999999996</v>
      </c>
      <c r="AC298" s="419">
        <v>-1445.3578</v>
      </c>
      <c r="AD298" s="419">
        <v>-1154.9887000000001</v>
      </c>
      <c r="AE298" s="419">
        <v>-222.6874</v>
      </c>
      <c r="AF298" s="420">
        <v>0.69540000000000002</v>
      </c>
      <c r="AG298" s="370"/>
    </row>
    <row r="299" spans="1:33">
      <c r="A299" s="370"/>
      <c r="B299" s="406">
        <f t="shared" si="5"/>
        <v>294</v>
      </c>
      <c r="C299" s="407">
        <v>-0.15840000000000001</v>
      </c>
      <c r="D299" s="407">
        <v>-1.9E-3</v>
      </c>
      <c r="E299" s="407">
        <v>0.37159999999999999</v>
      </c>
      <c r="F299" s="407">
        <v>-1.47E-2</v>
      </c>
      <c r="G299" s="407">
        <v>4.7000000000000002E-3</v>
      </c>
      <c r="H299" s="409">
        <v>6.7999999999999996E-3</v>
      </c>
      <c r="I299" s="409">
        <v>-9.4999999999999998E-3</v>
      </c>
      <c r="J299" s="407">
        <v>-8.9999999999999998E-4</v>
      </c>
      <c r="K299" s="410">
        <v>-1.7491000000000001</v>
      </c>
      <c r="L299" s="422">
        <v>-1.83E-2</v>
      </c>
      <c r="M299" s="412">
        <v>-6.79E-3</v>
      </c>
      <c r="N299" s="413">
        <v>-6.0000000000000002E-5</v>
      </c>
      <c r="O299" s="415">
        <v>-5.7450999999999999</v>
      </c>
      <c r="P299" s="415">
        <v>-1.1638999999999999</v>
      </c>
      <c r="Q299" s="415">
        <v>-0.60140000000000005</v>
      </c>
      <c r="R299" s="415">
        <v>-0.1951</v>
      </c>
      <c r="S299" s="415">
        <v>0.1691</v>
      </c>
      <c r="T299" s="415">
        <v>0.10440000000000001</v>
      </c>
      <c r="U299" s="415">
        <v>-5.3699999999999998E-2</v>
      </c>
      <c r="V299" s="415">
        <v>-5.21E-2</v>
      </c>
      <c r="W299" s="415">
        <v>-4.87E-2</v>
      </c>
      <c r="X299" s="416">
        <v>-4.6848000000000001</v>
      </c>
      <c r="Y299" s="418">
        <v>-0.25629999999999997</v>
      </c>
      <c r="Z299" s="418">
        <v>-0.25369999999999998</v>
      </c>
      <c r="AA299" s="418">
        <v>-0.1583</v>
      </c>
      <c r="AB299" s="419">
        <v>-8502.9739000000009</v>
      </c>
      <c r="AC299" s="419">
        <v>-1504.5640000000001</v>
      </c>
      <c r="AD299" s="419">
        <v>-1202.3005000000001</v>
      </c>
      <c r="AE299" s="419">
        <v>-231.80940000000001</v>
      </c>
      <c r="AF299" s="420">
        <v>0.70340000000000003</v>
      </c>
      <c r="AG299" s="370"/>
    </row>
    <row r="300" spans="1:33">
      <c r="A300" s="370"/>
      <c r="B300" s="406">
        <f t="shared" si="5"/>
        <v>295</v>
      </c>
      <c r="C300" s="407">
        <v>-0.15720000000000001</v>
      </c>
      <c r="D300" s="407">
        <v>-1.9E-3</v>
      </c>
      <c r="E300" s="407">
        <v>0.36870000000000003</v>
      </c>
      <c r="F300" s="407">
        <v>-1.46E-2</v>
      </c>
      <c r="G300" s="407">
        <v>4.5999999999999999E-3</v>
      </c>
      <c r="H300" s="409">
        <v>6.7000000000000002E-3</v>
      </c>
      <c r="I300" s="409">
        <v>-9.4000000000000004E-3</v>
      </c>
      <c r="J300" s="407">
        <v>-8.9999999999999998E-4</v>
      </c>
      <c r="K300" s="410">
        <v>-1.7352000000000001</v>
      </c>
      <c r="L300" s="422">
        <v>-1.8100000000000002E-2</v>
      </c>
      <c r="M300" s="412">
        <v>-7.0600000000000003E-3</v>
      </c>
      <c r="N300" s="413">
        <v>-6.0000000000000002E-5</v>
      </c>
      <c r="O300" s="415">
        <v>-5.6996000000000002</v>
      </c>
      <c r="P300" s="415">
        <v>-1.1547000000000001</v>
      </c>
      <c r="Q300" s="415">
        <v>-0.59660000000000002</v>
      </c>
      <c r="R300" s="415">
        <v>-0.19359999999999999</v>
      </c>
      <c r="S300" s="415">
        <v>0.1678</v>
      </c>
      <c r="T300" s="415">
        <v>0.1036</v>
      </c>
      <c r="U300" s="415">
        <v>-5.33E-2</v>
      </c>
      <c r="V300" s="415">
        <v>-5.1700000000000003E-2</v>
      </c>
      <c r="W300" s="415">
        <v>-4.8300000000000003E-2</v>
      </c>
      <c r="X300" s="416">
        <v>-4.6477000000000004</v>
      </c>
      <c r="Y300" s="418">
        <v>-0.25430000000000003</v>
      </c>
      <c r="Z300" s="418">
        <v>-0.25169999999999998</v>
      </c>
      <c r="AA300" s="418">
        <v>-0.157</v>
      </c>
      <c r="AB300" s="419">
        <v>-8834.9848000000002</v>
      </c>
      <c r="AC300" s="419">
        <v>-1563.3118999999999</v>
      </c>
      <c r="AD300" s="419">
        <v>-1249.2461000000001</v>
      </c>
      <c r="AE300" s="419">
        <v>-240.86070000000001</v>
      </c>
      <c r="AF300" s="420">
        <v>0.71130000000000004</v>
      </c>
      <c r="AG300" s="370"/>
    </row>
    <row r="301" spans="1:33">
      <c r="A301" s="370"/>
      <c r="B301" s="406">
        <f t="shared" si="5"/>
        <v>296</v>
      </c>
      <c r="C301" s="407">
        <v>-0.15590000000000001</v>
      </c>
      <c r="D301" s="407">
        <v>-1.9E-3</v>
      </c>
      <c r="E301" s="407">
        <v>0.36559999999999998</v>
      </c>
      <c r="F301" s="407">
        <v>-1.4500000000000001E-2</v>
      </c>
      <c r="G301" s="407">
        <v>4.5999999999999999E-3</v>
      </c>
      <c r="H301" s="409">
        <v>6.7000000000000002E-3</v>
      </c>
      <c r="I301" s="409">
        <v>-9.2999999999999992E-3</v>
      </c>
      <c r="J301" s="407">
        <v>-8.9999999999999998E-4</v>
      </c>
      <c r="K301" s="410">
        <v>-1.7208000000000001</v>
      </c>
      <c r="L301" s="422">
        <v>-1.7999999999999999E-2</v>
      </c>
      <c r="M301" s="412">
        <v>-7.3200000000000001E-3</v>
      </c>
      <c r="N301" s="413">
        <v>-6.0000000000000002E-5</v>
      </c>
      <c r="O301" s="415">
        <v>-5.6523000000000003</v>
      </c>
      <c r="P301" s="415">
        <v>-1.1451</v>
      </c>
      <c r="Q301" s="415">
        <v>-0.5917</v>
      </c>
      <c r="R301" s="415">
        <v>-0.192</v>
      </c>
      <c r="S301" s="415">
        <v>0.16639999999999999</v>
      </c>
      <c r="T301" s="415">
        <v>0.1028</v>
      </c>
      <c r="U301" s="415">
        <v>-5.28E-2</v>
      </c>
      <c r="V301" s="415">
        <v>-5.1299999999999998E-2</v>
      </c>
      <c r="W301" s="415">
        <v>-4.7899999999999998E-2</v>
      </c>
      <c r="X301" s="416">
        <v>-4.6092000000000004</v>
      </c>
      <c r="Y301" s="418">
        <v>-0.25219999999999998</v>
      </c>
      <c r="Z301" s="418">
        <v>-0.24959999999999999</v>
      </c>
      <c r="AA301" s="418">
        <v>-0.15570000000000001</v>
      </c>
      <c r="AB301" s="419">
        <v>-9164.3044000000009</v>
      </c>
      <c r="AC301" s="419">
        <v>-1621.5835</v>
      </c>
      <c r="AD301" s="419">
        <v>-1295.8110999999999</v>
      </c>
      <c r="AE301" s="419">
        <v>-249.83869999999999</v>
      </c>
      <c r="AF301" s="420">
        <v>0.71919999999999995</v>
      </c>
      <c r="AG301" s="370"/>
    </row>
    <row r="302" spans="1:33">
      <c r="A302" s="370"/>
      <c r="B302" s="406">
        <f t="shared" si="5"/>
        <v>297</v>
      </c>
      <c r="C302" s="407">
        <v>-0.1545</v>
      </c>
      <c r="D302" s="407">
        <v>-1.9E-3</v>
      </c>
      <c r="E302" s="407">
        <v>0.36249999999999999</v>
      </c>
      <c r="F302" s="407">
        <v>-1.43E-2</v>
      </c>
      <c r="G302" s="407">
        <v>4.4999999999999997E-3</v>
      </c>
      <c r="H302" s="409">
        <v>6.6E-3</v>
      </c>
      <c r="I302" s="409">
        <v>-9.2999999999999992E-3</v>
      </c>
      <c r="J302" s="407">
        <v>-8.9999999999999998E-4</v>
      </c>
      <c r="K302" s="410">
        <v>-1.7059</v>
      </c>
      <c r="L302" s="422">
        <v>-1.78E-2</v>
      </c>
      <c r="M302" s="412">
        <v>-7.5799999999999999E-3</v>
      </c>
      <c r="N302" s="413">
        <v>-6.0000000000000002E-5</v>
      </c>
      <c r="O302" s="415">
        <v>-5.6032999999999999</v>
      </c>
      <c r="P302" s="415">
        <v>-1.1352</v>
      </c>
      <c r="Q302" s="415">
        <v>-0.58660000000000001</v>
      </c>
      <c r="R302" s="415">
        <v>-0.1903</v>
      </c>
      <c r="S302" s="415">
        <v>0.16489999999999999</v>
      </c>
      <c r="T302" s="415">
        <v>0.1019</v>
      </c>
      <c r="U302" s="415">
        <v>-5.2400000000000002E-2</v>
      </c>
      <c r="V302" s="415">
        <v>-5.0799999999999998E-2</v>
      </c>
      <c r="W302" s="415">
        <v>-4.7500000000000001E-2</v>
      </c>
      <c r="X302" s="416">
        <v>-4.5692000000000004</v>
      </c>
      <c r="Y302" s="418">
        <v>-0.25</v>
      </c>
      <c r="Z302" s="418">
        <v>-0.24740000000000001</v>
      </c>
      <c r="AA302" s="418">
        <v>-0.15440000000000001</v>
      </c>
      <c r="AB302" s="419">
        <v>-9490.8325999999997</v>
      </c>
      <c r="AC302" s="419">
        <v>-1679.3613</v>
      </c>
      <c r="AD302" s="419">
        <v>-1341.9813999999999</v>
      </c>
      <c r="AE302" s="419">
        <v>-258.7405</v>
      </c>
      <c r="AF302" s="420">
        <v>0.72699999999999998</v>
      </c>
      <c r="AG302" s="370"/>
    </row>
    <row r="303" spans="1:33">
      <c r="A303" s="370"/>
      <c r="B303" s="406">
        <f t="shared" si="5"/>
        <v>298</v>
      </c>
      <c r="C303" s="407">
        <v>-0.15310000000000001</v>
      </c>
      <c r="D303" s="407">
        <v>-1.9E-3</v>
      </c>
      <c r="E303" s="407">
        <v>0.35920000000000002</v>
      </c>
      <c r="F303" s="407">
        <v>-1.4200000000000001E-2</v>
      </c>
      <c r="G303" s="407">
        <v>4.4999999999999997E-3</v>
      </c>
      <c r="H303" s="409">
        <v>6.4999999999999997E-3</v>
      </c>
      <c r="I303" s="409">
        <v>-9.1999999999999998E-3</v>
      </c>
      <c r="J303" s="407">
        <v>-8.9999999999999998E-4</v>
      </c>
      <c r="K303" s="410">
        <v>-1.6904999999999999</v>
      </c>
      <c r="L303" s="422">
        <v>-1.77E-2</v>
      </c>
      <c r="M303" s="412">
        <v>-7.8399999999999997E-3</v>
      </c>
      <c r="N303" s="413">
        <v>-6.9999999999999994E-5</v>
      </c>
      <c r="O303" s="415">
        <v>-5.5526999999999997</v>
      </c>
      <c r="P303" s="415">
        <v>-1.1249</v>
      </c>
      <c r="Q303" s="415">
        <v>-0.58130000000000004</v>
      </c>
      <c r="R303" s="415">
        <v>-0.18859999999999999</v>
      </c>
      <c r="S303" s="415">
        <v>0.16339999999999999</v>
      </c>
      <c r="T303" s="415">
        <v>0.1009</v>
      </c>
      <c r="U303" s="415">
        <v>-5.1900000000000002E-2</v>
      </c>
      <c r="V303" s="415">
        <v>-5.04E-2</v>
      </c>
      <c r="W303" s="415">
        <v>-4.7100000000000003E-2</v>
      </c>
      <c r="X303" s="416">
        <v>-4.5278999999999998</v>
      </c>
      <c r="Y303" s="418">
        <v>-0.24779999999999999</v>
      </c>
      <c r="Z303" s="418">
        <v>-0.2452</v>
      </c>
      <c r="AA303" s="418">
        <v>-0.153</v>
      </c>
      <c r="AB303" s="419">
        <v>-9814.4696999999996</v>
      </c>
      <c r="AC303" s="419">
        <v>-1736.6274000000001</v>
      </c>
      <c r="AD303" s="419">
        <v>-1387.7429</v>
      </c>
      <c r="AE303" s="419">
        <v>-267.56360000000001</v>
      </c>
      <c r="AF303" s="420">
        <v>0.73470000000000002</v>
      </c>
      <c r="AG303" s="370"/>
    </row>
    <row r="304" spans="1:33">
      <c r="A304" s="370"/>
      <c r="B304" s="406">
        <f t="shared" si="5"/>
        <v>299</v>
      </c>
      <c r="C304" s="407">
        <v>-0.1517</v>
      </c>
      <c r="D304" s="407">
        <v>-1.8E-3</v>
      </c>
      <c r="E304" s="407">
        <v>0.35580000000000001</v>
      </c>
      <c r="F304" s="407">
        <v>-1.41E-2</v>
      </c>
      <c r="G304" s="407">
        <v>4.4999999999999997E-3</v>
      </c>
      <c r="H304" s="409">
        <v>6.4999999999999997E-3</v>
      </c>
      <c r="I304" s="409">
        <v>-9.1000000000000004E-3</v>
      </c>
      <c r="J304" s="407">
        <v>-8.9999999999999998E-4</v>
      </c>
      <c r="K304" s="410">
        <v>-1.6745000000000001</v>
      </c>
      <c r="L304" s="422">
        <v>-1.7500000000000002E-2</v>
      </c>
      <c r="M304" s="412">
        <v>-8.0999999999999996E-3</v>
      </c>
      <c r="N304" s="413">
        <v>-6.9999999999999994E-5</v>
      </c>
      <c r="O304" s="415">
        <v>-5.5003000000000002</v>
      </c>
      <c r="P304" s="415">
        <v>-1.1143000000000001</v>
      </c>
      <c r="Q304" s="415">
        <v>-0.57579999999999998</v>
      </c>
      <c r="R304" s="415">
        <v>-0.18679999999999999</v>
      </c>
      <c r="S304" s="415">
        <v>0.16189999999999999</v>
      </c>
      <c r="T304" s="415">
        <v>0.1</v>
      </c>
      <c r="U304" s="415">
        <v>-5.1400000000000001E-2</v>
      </c>
      <c r="V304" s="415">
        <v>-4.99E-2</v>
      </c>
      <c r="W304" s="415">
        <v>-4.6600000000000003E-2</v>
      </c>
      <c r="X304" s="416">
        <v>-4.4851999999999999</v>
      </c>
      <c r="Y304" s="418">
        <v>-0.24540000000000001</v>
      </c>
      <c r="Z304" s="418">
        <v>-0.2429</v>
      </c>
      <c r="AA304" s="418">
        <v>-0.1515</v>
      </c>
      <c r="AB304" s="419">
        <v>-10135.117200000001</v>
      </c>
      <c r="AC304" s="419">
        <v>-1793.3646000000001</v>
      </c>
      <c r="AD304" s="419">
        <v>-1433.0817</v>
      </c>
      <c r="AE304" s="419">
        <v>-276.30509999999998</v>
      </c>
      <c r="AF304" s="420">
        <v>0.74239999999999995</v>
      </c>
      <c r="AG304" s="370"/>
    </row>
    <row r="305" spans="1:33">
      <c r="A305" s="370"/>
      <c r="B305" s="406">
        <f t="shared" si="5"/>
        <v>300</v>
      </c>
      <c r="C305" s="407">
        <v>-0.1502</v>
      </c>
      <c r="D305" s="407">
        <v>-1.8E-3</v>
      </c>
      <c r="E305" s="407">
        <v>0.3523</v>
      </c>
      <c r="F305" s="407">
        <v>-1.3899999999999999E-2</v>
      </c>
      <c r="G305" s="407">
        <v>4.4000000000000003E-3</v>
      </c>
      <c r="H305" s="409">
        <v>6.4000000000000003E-3</v>
      </c>
      <c r="I305" s="409">
        <v>-8.9999999999999993E-3</v>
      </c>
      <c r="J305" s="407">
        <v>-8.9999999999999998E-4</v>
      </c>
      <c r="K305" s="410">
        <v>-1.6580999999999999</v>
      </c>
      <c r="L305" s="422">
        <v>-1.7299999999999999E-2</v>
      </c>
      <c r="M305" s="412">
        <v>-8.3499999999999998E-3</v>
      </c>
      <c r="N305" s="413">
        <v>-6.9999999999999994E-5</v>
      </c>
      <c r="O305" s="415">
        <v>-5.4462000000000002</v>
      </c>
      <c r="P305" s="415">
        <v>-1.1032999999999999</v>
      </c>
      <c r="Q305" s="415">
        <v>-0.57010000000000005</v>
      </c>
      <c r="R305" s="415">
        <v>-0.185</v>
      </c>
      <c r="S305" s="415">
        <v>0.1603</v>
      </c>
      <c r="T305" s="415">
        <v>9.9000000000000005E-2</v>
      </c>
      <c r="U305" s="415">
        <v>-5.0900000000000001E-2</v>
      </c>
      <c r="V305" s="415">
        <v>-4.9399999999999999E-2</v>
      </c>
      <c r="W305" s="415">
        <v>-4.6199999999999998E-2</v>
      </c>
      <c r="X305" s="416">
        <v>-4.4410999999999996</v>
      </c>
      <c r="Y305" s="418">
        <v>-0.24299999999999999</v>
      </c>
      <c r="Z305" s="418">
        <v>-0.24049999999999999</v>
      </c>
      <c r="AA305" s="418">
        <v>-0.15</v>
      </c>
      <c r="AB305" s="419">
        <v>-10452.6775</v>
      </c>
      <c r="AC305" s="419">
        <v>-1849.5554999999999</v>
      </c>
      <c r="AD305" s="419">
        <v>-1477.9839999999999</v>
      </c>
      <c r="AE305" s="419">
        <v>-284.96249999999998</v>
      </c>
      <c r="AF305" s="420">
        <v>0.75</v>
      </c>
      <c r="AG305" s="370"/>
    </row>
    <row r="306" spans="1:33">
      <c r="A306" s="370"/>
      <c r="B306" s="406">
        <f t="shared" si="5"/>
        <v>301</v>
      </c>
      <c r="C306" s="407">
        <v>-0.14860000000000001</v>
      </c>
      <c r="D306" s="407">
        <v>-1.8E-3</v>
      </c>
      <c r="E306" s="407">
        <v>0.34870000000000001</v>
      </c>
      <c r="F306" s="407">
        <v>-1.38E-2</v>
      </c>
      <c r="G306" s="407">
        <v>4.4000000000000003E-3</v>
      </c>
      <c r="H306" s="409">
        <v>6.3E-3</v>
      </c>
      <c r="I306" s="409">
        <v>-8.8999999999999999E-3</v>
      </c>
      <c r="J306" s="407">
        <v>-8.9999999999999998E-4</v>
      </c>
      <c r="K306" s="410">
        <v>-1.6411</v>
      </c>
      <c r="L306" s="411">
        <v>-1.7100000000000001E-2</v>
      </c>
      <c r="M306" s="412">
        <v>-8.6E-3</v>
      </c>
      <c r="N306" s="413">
        <v>-6.9999999999999994E-5</v>
      </c>
      <c r="O306" s="415">
        <v>-5.3905000000000003</v>
      </c>
      <c r="P306" s="415">
        <v>-1.0921000000000001</v>
      </c>
      <c r="Q306" s="424">
        <v>-0.56430000000000002</v>
      </c>
      <c r="R306" s="415">
        <v>-0.18310000000000001</v>
      </c>
      <c r="S306" s="415">
        <v>0.15870000000000001</v>
      </c>
      <c r="T306" s="415">
        <v>9.8000000000000004E-2</v>
      </c>
      <c r="U306" s="415">
        <v>-5.04E-2</v>
      </c>
      <c r="V306" s="415">
        <v>-4.8899999999999999E-2</v>
      </c>
      <c r="W306" s="415">
        <v>-4.5699999999999998E-2</v>
      </c>
      <c r="X306" s="416">
        <v>-4.3956999999999997</v>
      </c>
      <c r="Y306" s="418">
        <v>-0.24049999999999999</v>
      </c>
      <c r="Z306" s="418">
        <v>-0.23799999999999999</v>
      </c>
      <c r="AA306" s="418">
        <v>-0.14849999999999999</v>
      </c>
      <c r="AB306" s="419">
        <v>-10767.0538</v>
      </c>
      <c r="AC306" s="419">
        <v>-1905.183</v>
      </c>
      <c r="AD306" s="419">
        <v>-1522.4360999999999</v>
      </c>
      <c r="AE306" s="419">
        <v>-293.53309999999999</v>
      </c>
      <c r="AF306" s="420">
        <v>0.75749999999999995</v>
      </c>
      <c r="AG306" s="370"/>
    </row>
    <row r="307" spans="1:33">
      <c r="A307" s="370"/>
      <c r="B307" s="406">
        <f t="shared" si="5"/>
        <v>302</v>
      </c>
      <c r="C307" s="407">
        <v>-0.14710000000000001</v>
      </c>
      <c r="D307" s="407">
        <v>-1.8E-3</v>
      </c>
      <c r="E307" s="407">
        <v>0.34499999999999997</v>
      </c>
      <c r="F307" s="407">
        <v>-1.37E-2</v>
      </c>
      <c r="G307" s="407">
        <v>4.3E-3</v>
      </c>
      <c r="H307" s="409">
        <v>6.3E-3</v>
      </c>
      <c r="I307" s="409">
        <v>-8.8000000000000005E-3</v>
      </c>
      <c r="J307" s="407">
        <v>-8.0000000000000004E-4</v>
      </c>
      <c r="K307" s="410">
        <v>-1.6236999999999999</v>
      </c>
      <c r="L307" s="411">
        <v>-1.7000000000000001E-2</v>
      </c>
      <c r="M307" s="412">
        <v>-8.8500000000000002E-3</v>
      </c>
      <c r="N307" s="413">
        <v>-6.9999999999999994E-5</v>
      </c>
      <c r="O307" s="415">
        <v>-5.3331999999999997</v>
      </c>
      <c r="P307" s="415">
        <v>-1.0804</v>
      </c>
      <c r="Q307" s="415">
        <v>-0.55830000000000002</v>
      </c>
      <c r="R307" s="415">
        <v>-0.1812</v>
      </c>
      <c r="S307" s="415">
        <v>0.157</v>
      </c>
      <c r="T307" s="415">
        <v>9.7000000000000003E-2</v>
      </c>
      <c r="U307" s="415">
        <v>-4.99E-2</v>
      </c>
      <c r="V307" s="415">
        <v>-4.8399999999999999E-2</v>
      </c>
      <c r="W307" s="415">
        <v>-4.5199999999999997E-2</v>
      </c>
      <c r="X307" s="416">
        <v>-4.3490000000000002</v>
      </c>
      <c r="Y307" s="418">
        <v>-0.23799999999999999</v>
      </c>
      <c r="Z307" s="418">
        <v>-0.23549999999999999</v>
      </c>
      <c r="AA307" s="418">
        <v>-0.1469</v>
      </c>
      <c r="AB307" s="419">
        <v>-11078.150299999999</v>
      </c>
      <c r="AC307" s="419">
        <v>-1960.2302</v>
      </c>
      <c r="AD307" s="419">
        <v>-1566.4244000000001</v>
      </c>
      <c r="AE307" s="419">
        <v>-302.01420000000002</v>
      </c>
      <c r="AF307" s="420">
        <v>0.76500000000000001</v>
      </c>
      <c r="AG307" s="370"/>
    </row>
    <row r="308" spans="1:33">
      <c r="A308" s="370"/>
      <c r="B308" s="406">
        <f t="shared" si="5"/>
        <v>303</v>
      </c>
      <c r="C308" s="407">
        <v>-0.1454</v>
      </c>
      <c r="D308" s="407">
        <v>-1.8E-3</v>
      </c>
      <c r="E308" s="407">
        <v>0.3412</v>
      </c>
      <c r="F308" s="407">
        <v>-1.35E-2</v>
      </c>
      <c r="G308" s="407">
        <v>4.3E-3</v>
      </c>
      <c r="H308" s="409">
        <v>6.1999999999999998E-3</v>
      </c>
      <c r="I308" s="409">
        <v>-8.6999999999999994E-3</v>
      </c>
      <c r="J308" s="407">
        <v>-8.0000000000000004E-4</v>
      </c>
      <c r="K308" s="410">
        <v>-1.6056999999999999</v>
      </c>
      <c r="L308" s="422">
        <v>-1.6799999999999999E-2</v>
      </c>
      <c r="M308" s="412">
        <v>-9.1000000000000004E-3</v>
      </c>
      <c r="N308" s="413">
        <v>-8.0000000000000007E-5</v>
      </c>
      <c r="O308" s="415">
        <v>-5.2742000000000004</v>
      </c>
      <c r="P308" s="415">
        <v>-1.0685</v>
      </c>
      <c r="Q308" s="415">
        <v>-0.55210000000000004</v>
      </c>
      <c r="R308" s="415">
        <v>-0.1792</v>
      </c>
      <c r="S308" s="415">
        <v>0.15529999999999999</v>
      </c>
      <c r="T308" s="415">
        <v>9.5899999999999999E-2</v>
      </c>
      <c r="U308" s="415">
        <v>-4.9299999999999997E-2</v>
      </c>
      <c r="V308" s="415">
        <v>-4.7899999999999998E-2</v>
      </c>
      <c r="W308" s="415">
        <v>-4.4699999999999997E-2</v>
      </c>
      <c r="X308" s="416">
        <v>-4.3009000000000004</v>
      </c>
      <c r="Y308" s="418">
        <v>-0.23530000000000001</v>
      </c>
      <c r="Z308" s="418">
        <v>-0.2329</v>
      </c>
      <c r="AA308" s="418">
        <v>-0.14530000000000001</v>
      </c>
      <c r="AB308" s="419">
        <v>-11385.8724</v>
      </c>
      <c r="AC308" s="419">
        <v>-2014.6802</v>
      </c>
      <c r="AD308" s="419">
        <v>-1609.9356</v>
      </c>
      <c r="AE308" s="419">
        <v>-310.40339999999998</v>
      </c>
      <c r="AF308" s="420">
        <v>0.77229999999999999</v>
      </c>
      <c r="AG308" s="370"/>
    </row>
    <row r="309" spans="1:33">
      <c r="A309" s="370"/>
      <c r="B309" s="406">
        <f t="shared" si="5"/>
        <v>304</v>
      </c>
      <c r="C309" s="407">
        <v>-0.14380000000000001</v>
      </c>
      <c r="D309" s="407">
        <v>-1.6999999999999999E-3</v>
      </c>
      <c r="E309" s="407">
        <v>0.33729999999999999</v>
      </c>
      <c r="F309" s="407">
        <v>-1.3299999999999999E-2</v>
      </c>
      <c r="G309" s="407">
        <v>4.1999999999999997E-3</v>
      </c>
      <c r="H309" s="409">
        <v>6.1000000000000004E-3</v>
      </c>
      <c r="I309" s="409">
        <v>-8.6E-3</v>
      </c>
      <c r="J309" s="407">
        <v>-8.0000000000000004E-4</v>
      </c>
      <c r="K309" s="410">
        <v>-1.5872999999999999</v>
      </c>
      <c r="L309" s="422">
        <v>-1.66E-2</v>
      </c>
      <c r="M309" s="412">
        <v>-9.3399999999999993E-3</v>
      </c>
      <c r="N309" s="413">
        <v>-8.0000000000000007E-5</v>
      </c>
      <c r="O309" s="415">
        <v>-5.2135999999999996</v>
      </c>
      <c r="P309" s="415">
        <v>-1.0562</v>
      </c>
      <c r="Q309" s="415">
        <v>-0.54579999999999995</v>
      </c>
      <c r="R309" s="415">
        <v>-0.17710000000000001</v>
      </c>
      <c r="S309" s="415">
        <v>0.1535</v>
      </c>
      <c r="T309" s="415">
        <v>9.4799999999999995E-2</v>
      </c>
      <c r="U309" s="415">
        <v>-4.87E-2</v>
      </c>
      <c r="V309" s="415">
        <v>-4.7300000000000002E-2</v>
      </c>
      <c r="W309" s="415">
        <v>-4.4200000000000003E-2</v>
      </c>
      <c r="X309" s="416">
        <v>-4.2515000000000001</v>
      </c>
      <c r="Y309" s="418">
        <v>-0.2326</v>
      </c>
      <c r="Z309" s="418">
        <v>-0.23019999999999999</v>
      </c>
      <c r="AA309" s="418">
        <v>-0.14360000000000001</v>
      </c>
      <c r="AB309" s="419">
        <v>-11690.126200000001</v>
      </c>
      <c r="AC309" s="419">
        <v>-2068.5165999999999</v>
      </c>
      <c r="AD309" s="419">
        <v>-1652.9563000000001</v>
      </c>
      <c r="AE309" s="419">
        <v>-318.69799999999998</v>
      </c>
      <c r="AF309" s="420">
        <v>0.77959999999999996</v>
      </c>
      <c r="AG309" s="370"/>
    </row>
    <row r="310" spans="1:33">
      <c r="A310" s="370"/>
      <c r="B310" s="406">
        <f t="shared" si="5"/>
        <v>305</v>
      </c>
      <c r="C310" s="407">
        <v>-0.14199999999999999</v>
      </c>
      <c r="D310" s="407">
        <v>-1.6999999999999999E-3</v>
      </c>
      <c r="E310" s="407">
        <v>0.3332</v>
      </c>
      <c r="F310" s="407">
        <v>-1.32E-2</v>
      </c>
      <c r="G310" s="407">
        <v>4.1999999999999997E-3</v>
      </c>
      <c r="H310" s="409">
        <v>6.1000000000000004E-3</v>
      </c>
      <c r="I310" s="409">
        <v>-8.5000000000000006E-3</v>
      </c>
      <c r="J310" s="407">
        <v>-8.0000000000000004E-4</v>
      </c>
      <c r="K310" s="410">
        <v>-1.5683</v>
      </c>
      <c r="L310" s="422">
        <v>-1.6400000000000001E-2</v>
      </c>
      <c r="M310" s="412">
        <v>-9.58E-3</v>
      </c>
      <c r="N310" s="413">
        <v>-8.0000000000000007E-5</v>
      </c>
      <c r="O310" s="415">
        <v>-5.1515000000000004</v>
      </c>
      <c r="P310" s="415">
        <v>-1.0436000000000001</v>
      </c>
      <c r="Q310" s="415">
        <v>-0.5393</v>
      </c>
      <c r="R310" s="415">
        <v>-0.17499999999999999</v>
      </c>
      <c r="S310" s="415">
        <v>0.15160000000000001</v>
      </c>
      <c r="T310" s="415">
        <v>9.3700000000000006E-2</v>
      </c>
      <c r="U310" s="415">
        <v>-4.82E-2</v>
      </c>
      <c r="V310" s="415">
        <v>-4.6699999999999998E-2</v>
      </c>
      <c r="W310" s="415">
        <v>-4.3700000000000003E-2</v>
      </c>
      <c r="X310" s="416">
        <v>-4.2008000000000001</v>
      </c>
      <c r="Y310" s="418">
        <v>-0.22989999999999999</v>
      </c>
      <c r="Z310" s="418">
        <v>-0.22750000000000001</v>
      </c>
      <c r="AA310" s="418">
        <v>-0.1419</v>
      </c>
      <c r="AB310" s="419">
        <v>-11990.819</v>
      </c>
      <c r="AC310" s="419">
        <v>-2121.7229000000002</v>
      </c>
      <c r="AD310" s="419">
        <v>-1695.4736</v>
      </c>
      <c r="AE310" s="419">
        <v>-326.8956</v>
      </c>
      <c r="AF310" s="420">
        <v>0.78680000000000005</v>
      </c>
      <c r="AG310" s="370"/>
    </row>
    <row r="311" spans="1:33">
      <c r="A311" s="370"/>
      <c r="B311" s="406">
        <f t="shared" si="5"/>
        <v>306</v>
      </c>
      <c r="C311" s="407">
        <v>-0.14030000000000001</v>
      </c>
      <c r="D311" s="407">
        <v>-1.6999999999999999E-3</v>
      </c>
      <c r="E311" s="407">
        <v>0.3291</v>
      </c>
      <c r="F311" s="407">
        <v>-1.2999999999999999E-2</v>
      </c>
      <c r="G311" s="407">
        <v>4.1000000000000003E-3</v>
      </c>
      <c r="H311" s="409">
        <v>6.0000000000000001E-3</v>
      </c>
      <c r="I311" s="409">
        <v>-8.3999999999999995E-3</v>
      </c>
      <c r="J311" s="407">
        <v>-8.0000000000000004E-4</v>
      </c>
      <c r="K311" s="410">
        <v>-1.5488999999999999</v>
      </c>
      <c r="L311" s="422">
        <v>-1.6199999999999999E-2</v>
      </c>
      <c r="M311" s="412">
        <v>-9.8200000000000006E-3</v>
      </c>
      <c r="N311" s="413">
        <v>-8.0000000000000007E-5</v>
      </c>
      <c r="O311" s="415">
        <v>-5.0876999999999999</v>
      </c>
      <c r="P311" s="415">
        <v>-1.0306999999999999</v>
      </c>
      <c r="Q311" s="415">
        <v>-0.53259999999999996</v>
      </c>
      <c r="R311" s="415">
        <v>-0.17280000000000001</v>
      </c>
      <c r="S311" s="415">
        <v>0.14979999999999999</v>
      </c>
      <c r="T311" s="415">
        <v>9.2499999999999999E-2</v>
      </c>
      <c r="U311" s="415">
        <v>-4.7600000000000003E-2</v>
      </c>
      <c r="V311" s="415">
        <v>-4.6199999999999998E-2</v>
      </c>
      <c r="W311" s="415">
        <v>-4.3099999999999999E-2</v>
      </c>
      <c r="X311" s="416">
        <v>-4.1487999999999996</v>
      </c>
      <c r="Y311" s="418">
        <v>-0.22700000000000001</v>
      </c>
      <c r="Z311" s="418">
        <v>-0.22470000000000001</v>
      </c>
      <c r="AA311" s="418">
        <v>-0.14019999999999999</v>
      </c>
      <c r="AB311" s="419">
        <v>-12287.859399999999</v>
      </c>
      <c r="AC311" s="419">
        <v>-2174.2829000000002</v>
      </c>
      <c r="AD311" s="419">
        <v>-1737.4744000000001</v>
      </c>
      <c r="AE311" s="419">
        <v>-334.99349999999998</v>
      </c>
      <c r="AF311" s="420">
        <v>0.79390000000000005</v>
      </c>
      <c r="AG311" s="370"/>
    </row>
    <row r="312" spans="1:33">
      <c r="A312" s="370"/>
      <c r="B312" s="406">
        <f t="shared" si="5"/>
        <v>307</v>
      </c>
      <c r="C312" s="407">
        <v>-0.13850000000000001</v>
      </c>
      <c r="D312" s="407">
        <v>-1.6999999999999999E-3</v>
      </c>
      <c r="E312" s="407">
        <v>0.32490000000000002</v>
      </c>
      <c r="F312" s="407">
        <v>-1.29E-2</v>
      </c>
      <c r="G312" s="407">
        <v>4.1000000000000003E-3</v>
      </c>
      <c r="H312" s="409">
        <v>5.8999999999999999E-3</v>
      </c>
      <c r="I312" s="409">
        <v>-8.3000000000000001E-3</v>
      </c>
      <c r="J312" s="407">
        <v>-8.0000000000000004E-4</v>
      </c>
      <c r="K312" s="410">
        <v>-1.5290999999999999</v>
      </c>
      <c r="L312" s="422">
        <v>-1.6E-2</v>
      </c>
      <c r="M312" s="412">
        <v>-1.005E-2</v>
      </c>
      <c r="N312" s="413">
        <v>-8.0000000000000007E-5</v>
      </c>
      <c r="O312" s="415">
        <v>-5.0224000000000002</v>
      </c>
      <c r="P312" s="415">
        <v>-1.0175000000000001</v>
      </c>
      <c r="Q312" s="415">
        <v>-0.52580000000000005</v>
      </c>
      <c r="R312" s="415">
        <v>-0.1706</v>
      </c>
      <c r="S312" s="415">
        <v>0.14779999999999999</v>
      </c>
      <c r="T312" s="415">
        <v>9.1300000000000006E-2</v>
      </c>
      <c r="U312" s="415">
        <v>-4.7E-2</v>
      </c>
      <c r="V312" s="415">
        <v>-4.5600000000000002E-2</v>
      </c>
      <c r="W312" s="415">
        <v>-4.2599999999999999E-2</v>
      </c>
      <c r="X312" s="416">
        <v>-4.0956000000000001</v>
      </c>
      <c r="Y312" s="418">
        <v>-0.22409999999999999</v>
      </c>
      <c r="Z312" s="418">
        <v>-0.2218</v>
      </c>
      <c r="AA312" s="418">
        <v>-0.1384</v>
      </c>
      <c r="AB312" s="419">
        <v>-12581.1567</v>
      </c>
      <c r="AC312" s="419">
        <v>-2226.1806000000001</v>
      </c>
      <c r="AD312" s="419">
        <v>-1778.9459999999999</v>
      </c>
      <c r="AE312" s="419">
        <v>-342.98939999999999</v>
      </c>
      <c r="AF312" s="420">
        <v>0.80089999999999995</v>
      </c>
      <c r="AG312" s="370"/>
    </row>
    <row r="313" spans="1:33">
      <c r="A313" s="370"/>
      <c r="B313" s="406">
        <f t="shared" si="5"/>
        <v>308</v>
      </c>
      <c r="C313" s="407">
        <v>-0.1366</v>
      </c>
      <c r="D313" s="407">
        <v>-1.6999999999999999E-3</v>
      </c>
      <c r="E313" s="407">
        <v>0.3206</v>
      </c>
      <c r="F313" s="407">
        <v>-1.2699999999999999E-2</v>
      </c>
      <c r="G313" s="407">
        <v>4.0000000000000001E-3</v>
      </c>
      <c r="H313" s="409">
        <v>5.7999999999999996E-3</v>
      </c>
      <c r="I313" s="409">
        <v>-8.2000000000000007E-3</v>
      </c>
      <c r="J313" s="407">
        <v>-8.0000000000000004E-4</v>
      </c>
      <c r="K313" s="410">
        <v>-1.5086999999999999</v>
      </c>
      <c r="L313" s="422">
        <v>-1.5800000000000002E-2</v>
      </c>
      <c r="M313" s="412">
        <v>-1.0279999999999999E-2</v>
      </c>
      <c r="N313" s="413">
        <v>-9.0000000000000006E-5</v>
      </c>
      <c r="O313" s="415">
        <v>-4.9555999999999996</v>
      </c>
      <c r="P313" s="415">
        <v>-1.0039</v>
      </c>
      <c r="Q313" s="415">
        <v>-0.51880000000000004</v>
      </c>
      <c r="R313" s="415">
        <v>-0.16830000000000001</v>
      </c>
      <c r="S313" s="415">
        <v>0.1459</v>
      </c>
      <c r="T313" s="415">
        <v>9.01E-2</v>
      </c>
      <c r="U313" s="415">
        <v>-4.6300000000000001E-2</v>
      </c>
      <c r="V313" s="415">
        <v>-4.4999999999999998E-2</v>
      </c>
      <c r="W313" s="415">
        <v>-4.2000000000000003E-2</v>
      </c>
      <c r="X313" s="416">
        <v>-4.0411000000000001</v>
      </c>
      <c r="Y313" s="418">
        <v>-0.22109999999999999</v>
      </c>
      <c r="Z313" s="418">
        <v>-0.21879999999999999</v>
      </c>
      <c r="AA313" s="418">
        <v>-0.13650000000000001</v>
      </c>
      <c r="AB313" s="419">
        <v>-12870.6217</v>
      </c>
      <c r="AC313" s="419">
        <v>-2277.4000999999998</v>
      </c>
      <c r="AD313" s="419">
        <v>-1819.8756000000001</v>
      </c>
      <c r="AE313" s="419">
        <v>-350.8809</v>
      </c>
      <c r="AF313" s="420">
        <v>0.80779999999999996</v>
      </c>
      <c r="AG313" s="370"/>
    </row>
    <row r="314" spans="1:33">
      <c r="A314" s="370"/>
      <c r="B314" s="406">
        <f t="shared" si="5"/>
        <v>309</v>
      </c>
      <c r="C314" s="407">
        <v>-0.1348</v>
      </c>
      <c r="D314" s="407">
        <v>-1.6000000000000001E-3</v>
      </c>
      <c r="E314" s="407">
        <v>0.31609999999999999</v>
      </c>
      <c r="F314" s="407">
        <v>-1.2500000000000001E-2</v>
      </c>
      <c r="G314" s="407">
        <v>4.0000000000000001E-3</v>
      </c>
      <c r="H314" s="409">
        <v>5.7999999999999996E-3</v>
      </c>
      <c r="I314" s="409">
        <v>-8.0999999999999996E-3</v>
      </c>
      <c r="J314" s="407">
        <v>-8.0000000000000004E-4</v>
      </c>
      <c r="K314" s="410">
        <v>-1.4879</v>
      </c>
      <c r="L314" s="422">
        <v>-1.55E-2</v>
      </c>
      <c r="M314" s="412">
        <v>-1.051E-2</v>
      </c>
      <c r="N314" s="413">
        <v>-9.0000000000000006E-5</v>
      </c>
      <c r="O314" s="415">
        <v>-4.8872999999999998</v>
      </c>
      <c r="P314" s="415">
        <v>-0.99009999999999998</v>
      </c>
      <c r="Q314" s="415">
        <v>-0.51160000000000005</v>
      </c>
      <c r="R314" s="415">
        <v>-0.16600000000000001</v>
      </c>
      <c r="S314" s="415">
        <v>0.1439</v>
      </c>
      <c r="T314" s="415">
        <v>8.8900000000000007E-2</v>
      </c>
      <c r="U314" s="415">
        <v>-4.5699999999999998E-2</v>
      </c>
      <c r="V314" s="415">
        <v>-4.4299999999999999E-2</v>
      </c>
      <c r="W314" s="415">
        <v>-4.1399999999999999E-2</v>
      </c>
      <c r="X314" s="416">
        <v>-3.9853999999999998</v>
      </c>
      <c r="Y314" s="418">
        <v>-0.21809999999999999</v>
      </c>
      <c r="Z314" s="418">
        <v>-0.21579999999999999</v>
      </c>
      <c r="AA314" s="418">
        <v>-0.1346</v>
      </c>
      <c r="AB314" s="419">
        <v>-13156.1662</v>
      </c>
      <c r="AC314" s="419">
        <v>-2327.9259999999999</v>
      </c>
      <c r="AD314" s="419">
        <v>-1860.2509</v>
      </c>
      <c r="AE314" s="419">
        <v>-358.66539999999998</v>
      </c>
      <c r="AF314" s="420">
        <v>0.81469999999999998</v>
      </c>
      <c r="AG314" s="370"/>
    </row>
    <row r="315" spans="1:33">
      <c r="A315" s="370"/>
      <c r="B315" s="406">
        <f t="shared" si="5"/>
        <v>310</v>
      </c>
      <c r="C315" s="407">
        <v>-0.1328</v>
      </c>
      <c r="D315" s="407">
        <v>-1.6000000000000001E-3</v>
      </c>
      <c r="E315" s="407">
        <v>0.31159999999999999</v>
      </c>
      <c r="F315" s="407">
        <v>-1.23E-2</v>
      </c>
      <c r="G315" s="407">
        <v>3.8999999999999998E-3</v>
      </c>
      <c r="H315" s="409">
        <v>5.7000000000000002E-3</v>
      </c>
      <c r="I315" s="409">
        <v>-8.0000000000000002E-3</v>
      </c>
      <c r="J315" s="407">
        <v>-8.0000000000000004E-4</v>
      </c>
      <c r="K315" s="410">
        <v>-1.4666999999999999</v>
      </c>
      <c r="L315" s="422">
        <v>-1.5299999999999999E-2</v>
      </c>
      <c r="M315" s="412">
        <v>-1.073E-2</v>
      </c>
      <c r="N315" s="413">
        <v>-9.0000000000000006E-5</v>
      </c>
      <c r="O315" s="415">
        <v>-4.8174999999999999</v>
      </c>
      <c r="P315" s="415">
        <v>-0.97599999999999998</v>
      </c>
      <c r="Q315" s="415">
        <v>-0.50429999999999997</v>
      </c>
      <c r="R315" s="415">
        <v>-0.1636</v>
      </c>
      <c r="S315" s="415">
        <v>0.14180000000000001</v>
      </c>
      <c r="T315" s="415">
        <v>8.7599999999999997E-2</v>
      </c>
      <c r="U315" s="415">
        <v>-4.4999999999999998E-2</v>
      </c>
      <c r="V315" s="415">
        <v>-4.3700000000000003E-2</v>
      </c>
      <c r="W315" s="415">
        <v>-4.0800000000000003E-2</v>
      </c>
      <c r="X315" s="416">
        <v>-3.9283999999999999</v>
      </c>
      <c r="Y315" s="418">
        <v>-0.215</v>
      </c>
      <c r="Z315" s="418">
        <v>-0.2127</v>
      </c>
      <c r="AA315" s="418">
        <v>-0.13270000000000001</v>
      </c>
      <c r="AB315" s="419">
        <v>-13437.7032</v>
      </c>
      <c r="AC315" s="419">
        <v>-2377.7426999999998</v>
      </c>
      <c r="AD315" s="419">
        <v>-1900.0596</v>
      </c>
      <c r="AE315" s="419">
        <v>-366.34070000000003</v>
      </c>
      <c r="AF315" s="420">
        <v>0.82140000000000002</v>
      </c>
      <c r="AG315" s="370"/>
    </row>
    <row r="316" spans="1:33">
      <c r="A316" s="370"/>
      <c r="B316" s="406">
        <f t="shared" si="5"/>
        <v>311</v>
      </c>
      <c r="C316" s="407">
        <v>-0.13089999999999999</v>
      </c>
      <c r="D316" s="407">
        <v>-1.6000000000000001E-3</v>
      </c>
      <c r="E316" s="407">
        <v>0.307</v>
      </c>
      <c r="F316" s="407">
        <v>-1.2200000000000001E-2</v>
      </c>
      <c r="G316" s="407">
        <v>3.8E-3</v>
      </c>
      <c r="H316" s="409">
        <v>5.5999999999999999E-3</v>
      </c>
      <c r="I316" s="409">
        <v>-7.7999999999999996E-3</v>
      </c>
      <c r="J316" s="407">
        <v>-8.0000000000000004E-4</v>
      </c>
      <c r="K316" s="410">
        <v>-1.4450000000000001</v>
      </c>
      <c r="L316" s="422">
        <v>-1.5100000000000001E-2</v>
      </c>
      <c r="M316" s="412">
        <v>-1.0959999999999999E-2</v>
      </c>
      <c r="N316" s="413">
        <v>-9.0000000000000006E-5</v>
      </c>
      <c r="O316" s="415">
        <v>-4.7462</v>
      </c>
      <c r="P316" s="415">
        <v>-0.96150000000000002</v>
      </c>
      <c r="Q316" s="415">
        <v>-0.49680000000000002</v>
      </c>
      <c r="R316" s="415">
        <v>-0.16120000000000001</v>
      </c>
      <c r="S316" s="415">
        <v>0.13969999999999999</v>
      </c>
      <c r="T316" s="415">
        <v>8.6300000000000002E-2</v>
      </c>
      <c r="U316" s="415">
        <v>-4.4400000000000002E-2</v>
      </c>
      <c r="V316" s="415">
        <v>-4.3099999999999999E-2</v>
      </c>
      <c r="W316" s="415">
        <v>-4.02E-2</v>
      </c>
      <c r="X316" s="416">
        <v>-3.8702999999999999</v>
      </c>
      <c r="Y316" s="418">
        <v>-0.21179999999999999</v>
      </c>
      <c r="Z316" s="418">
        <v>-0.20960000000000001</v>
      </c>
      <c r="AA316" s="418">
        <v>-0.13070000000000001</v>
      </c>
      <c r="AB316" s="419">
        <v>-13715.1469</v>
      </c>
      <c r="AC316" s="419">
        <v>-2426.8352</v>
      </c>
      <c r="AD316" s="419">
        <v>-1939.2895000000001</v>
      </c>
      <c r="AE316" s="419">
        <v>-373.90440000000001</v>
      </c>
      <c r="AF316" s="420">
        <v>0.82799999999999996</v>
      </c>
      <c r="AG316" s="370"/>
    </row>
    <row r="317" spans="1:33">
      <c r="A317" s="370"/>
      <c r="B317" s="406">
        <f t="shared" si="5"/>
        <v>312</v>
      </c>
      <c r="C317" s="407">
        <v>-0.12889999999999999</v>
      </c>
      <c r="D317" s="407">
        <v>-1.6000000000000001E-3</v>
      </c>
      <c r="E317" s="407">
        <v>0.30230000000000001</v>
      </c>
      <c r="F317" s="407">
        <v>-1.2E-2</v>
      </c>
      <c r="G317" s="407">
        <v>3.8E-3</v>
      </c>
      <c r="H317" s="409">
        <v>5.4999999999999997E-3</v>
      </c>
      <c r="I317" s="409">
        <v>-7.7000000000000002E-3</v>
      </c>
      <c r="J317" s="407">
        <v>-6.9999999999999999E-4</v>
      </c>
      <c r="K317" s="410">
        <v>-1.4228000000000001</v>
      </c>
      <c r="L317" s="422">
        <v>-1.49E-2</v>
      </c>
      <c r="M317" s="412">
        <v>-1.1169999999999999E-2</v>
      </c>
      <c r="N317" s="413">
        <v>-9.0000000000000006E-5</v>
      </c>
      <c r="O317" s="415">
        <v>-4.6734999999999998</v>
      </c>
      <c r="P317" s="415">
        <v>-0.94679999999999997</v>
      </c>
      <c r="Q317" s="415">
        <v>-0.48920000000000002</v>
      </c>
      <c r="R317" s="415">
        <v>-0.15870000000000001</v>
      </c>
      <c r="S317" s="415">
        <v>0.1376</v>
      </c>
      <c r="T317" s="415">
        <v>8.5000000000000006E-2</v>
      </c>
      <c r="U317" s="415">
        <v>-4.3700000000000003E-2</v>
      </c>
      <c r="V317" s="415">
        <v>-4.24E-2</v>
      </c>
      <c r="W317" s="415">
        <v>-3.9600000000000003E-2</v>
      </c>
      <c r="X317" s="416">
        <v>-3.8109999999999999</v>
      </c>
      <c r="Y317" s="418">
        <v>-0.20849999999999999</v>
      </c>
      <c r="Z317" s="418">
        <v>-0.2064</v>
      </c>
      <c r="AA317" s="418">
        <v>-0.12870000000000001</v>
      </c>
      <c r="AB317" s="419">
        <v>-13988.412899999999</v>
      </c>
      <c r="AC317" s="419">
        <v>-2475.1884</v>
      </c>
      <c r="AD317" s="419">
        <v>-1977.9286999999999</v>
      </c>
      <c r="AE317" s="419">
        <v>-381.35430000000002</v>
      </c>
      <c r="AF317" s="420">
        <v>0.83460000000000001</v>
      </c>
      <c r="AG317" s="370"/>
    </row>
    <row r="318" spans="1:33">
      <c r="A318" s="370"/>
      <c r="B318" s="406">
        <f t="shared" si="5"/>
        <v>313</v>
      </c>
      <c r="C318" s="407">
        <v>-0.1268</v>
      </c>
      <c r="D318" s="407">
        <v>-1.5E-3</v>
      </c>
      <c r="E318" s="407">
        <v>0.29749999999999999</v>
      </c>
      <c r="F318" s="407">
        <v>-1.18E-2</v>
      </c>
      <c r="G318" s="407">
        <v>3.7000000000000002E-3</v>
      </c>
      <c r="H318" s="409">
        <v>5.4000000000000003E-3</v>
      </c>
      <c r="I318" s="409">
        <v>-7.6E-3</v>
      </c>
      <c r="J318" s="407">
        <v>-6.9999999999999999E-4</v>
      </c>
      <c r="K318" s="410">
        <v>-1.4001999999999999</v>
      </c>
      <c r="L318" s="422">
        <v>-1.46E-2</v>
      </c>
      <c r="M318" s="412">
        <v>-1.1390000000000001E-2</v>
      </c>
      <c r="N318" s="413">
        <v>-1E-4</v>
      </c>
      <c r="O318" s="415">
        <v>-4.5993000000000004</v>
      </c>
      <c r="P318" s="415">
        <v>-0.93179999999999996</v>
      </c>
      <c r="Q318" s="415">
        <v>-0.48149999999999998</v>
      </c>
      <c r="R318" s="415">
        <v>-0.15620000000000001</v>
      </c>
      <c r="S318" s="415">
        <v>0.13539999999999999</v>
      </c>
      <c r="T318" s="415">
        <v>8.3599999999999994E-2</v>
      </c>
      <c r="U318" s="415">
        <v>-4.2999999999999997E-2</v>
      </c>
      <c r="V318" s="415">
        <v>-4.1700000000000001E-2</v>
      </c>
      <c r="W318" s="415">
        <v>-3.9E-2</v>
      </c>
      <c r="X318" s="416">
        <v>-3.7505000000000002</v>
      </c>
      <c r="Y318" s="418">
        <v>-0.20519999999999999</v>
      </c>
      <c r="Z318" s="418">
        <v>-0.2031</v>
      </c>
      <c r="AA318" s="418">
        <v>-0.12670000000000001</v>
      </c>
      <c r="AB318" s="419">
        <v>-14257.417799999999</v>
      </c>
      <c r="AC318" s="419">
        <v>-2522.7876000000001</v>
      </c>
      <c r="AD318" s="419">
        <v>-2015.9653000000001</v>
      </c>
      <c r="AE318" s="419">
        <v>-388.68790000000001</v>
      </c>
      <c r="AF318" s="420">
        <v>0.84099999999999997</v>
      </c>
      <c r="AG318" s="370"/>
    </row>
    <row r="319" spans="1:33">
      <c r="A319" s="370"/>
      <c r="B319" s="406">
        <f t="shared" si="5"/>
        <v>314</v>
      </c>
      <c r="C319" s="407">
        <v>-0.12470000000000001</v>
      </c>
      <c r="D319" s="407">
        <v>-1.5E-3</v>
      </c>
      <c r="E319" s="407">
        <v>0.29260000000000003</v>
      </c>
      <c r="F319" s="407">
        <v>-1.1599999999999999E-2</v>
      </c>
      <c r="G319" s="407">
        <v>3.7000000000000002E-3</v>
      </c>
      <c r="H319" s="409">
        <v>5.3E-3</v>
      </c>
      <c r="I319" s="409">
        <v>-7.4999999999999997E-3</v>
      </c>
      <c r="J319" s="407">
        <v>-6.9999999999999999E-4</v>
      </c>
      <c r="K319" s="410">
        <v>-1.3772</v>
      </c>
      <c r="L319" s="422">
        <v>-1.44E-2</v>
      </c>
      <c r="M319" s="412">
        <v>-1.1599999999999999E-2</v>
      </c>
      <c r="N319" s="413">
        <v>-1E-4</v>
      </c>
      <c r="O319" s="415">
        <v>-4.5237999999999996</v>
      </c>
      <c r="P319" s="415">
        <v>-0.91649999999999998</v>
      </c>
      <c r="Q319" s="415">
        <v>-0.47360000000000002</v>
      </c>
      <c r="R319" s="415">
        <v>-0.1537</v>
      </c>
      <c r="S319" s="415">
        <v>0.13320000000000001</v>
      </c>
      <c r="T319" s="415">
        <v>8.2199999999999995E-2</v>
      </c>
      <c r="U319" s="415">
        <v>-4.2299999999999997E-2</v>
      </c>
      <c r="V319" s="415">
        <v>-4.1000000000000002E-2</v>
      </c>
      <c r="W319" s="415">
        <v>-3.8399999999999997E-2</v>
      </c>
      <c r="X319" s="416">
        <v>-3.6888999999999998</v>
      </c>
      <c r="Y319" s="418">
        <v>-0.2019</v>
      </c>
      <c r="Z319" s="418">
        <v>-0.19980000000000001</v>
      </c>
      <c r="AA319" s="418">
        <v>-0.1246</v>
      </c>
      <c r="AB319" s="419">
        <v>-14522.0798</v>
      </c>
      <c r="AC319" s="419">
        <v>-2569.6183999999998</v>
      </c>
      <c r="AD319" s="419">
        <v>-2053.3879000000002</v>
      </c>
      <c r="AE319" s="419">
        <v>-395.90320000000003</v>
      </c>
      <c r="AF319" s="420">
        <v>0.84730000000000005</v>
      </c>
      <c r="AG319" s="370"/>
    </row>
    <row r="320" spans="1:33">
      <c r="A320" s="370"/>
      <c r="B320" s="406">
        <f t="shared" si="5"/>
        <v>315</v>
      </c>
      <c r="C320" s="407">
        <v>-0.1226</v>
      </c>
      <c r="D320" s="407">
        <v>-1.5E-3</v>
      </c>
      <c r="E320" s="407">
        <v>0.28770000000000001</v>
      </c>
      <c r="F320" s="407">
        <v>-1.14E-2</v>
      </c>
      <c r="G320" s="407">
        <v>3.5999999999999999E-3</v>
      </c>
      <c r="H320" s="409">
        <v>5.1999999999999998E-3</v>
      </c>
      <c r="I320" s="409">
        <v>-7.4000000000000003E-3</v>
      </c>
      <c r="J320" s="407">
        <v>-6.9999999999999999E-4</v>
      </c>
      <c r="K320" s="410">
        <v>-1.3537999999999999</v>
      </c>
      <c r="L320" s="422">
        <v>-1.41E-2</v>
      </c>
      <c r="M320" s="412">
        <v>-1.1809999999999999E-2</v>
      </c>
      <c r="N320" s="413">
        <v>-1E-4</v>
      </c>
      <c r="O320" s="415">
        <v>-4.4467999999999996</v>
      </c>
      <c r="P320" s="415">
        <v>-0.90090000000000003</v>
      </c>
      <c r="Q320" s="415">
        <v>-0.46550000000000002</v>
      </c>
      <c r="R320" s="415">
        <v>-0.15110000000000001</v>
      </c>
      <c r="S320" s="415">
        <v>0.13089999999999999</v>
      </c>
      <c r="T320" s="415">
        <v>8.0799999999999997E-2</v>
      </c>
      <c r="U320" s="415">
        <v>-4.1599999999999998E-2</v>
      </c>
      <c r="V320" s="415">
        <v>-4.0399999999999998E-2</v>
      </c>
      <c r="W320" s="415">
        <v>-3.7699999999999997E-2</v>
      </c>
      <c r="X320" s="416">
        <v>-3.6261999999999999</v>
      </c>
      <c r="Y320" s="418">
        <v>-0.19839999999999999</v>
      </c>
      <c r="Z320" s="418">
        <v>-0.19639999999999999</v>
      </c>
      <c r="AA320" s="418">
        <v>-0.1225</v>
      </c>
      <c r="AB320" s="419">
        <v>-14782.318300000001</v>
      </c>
      <c r="AC320" s="419">
        <v>-2615.6664999999998</v>
      </c>
      <c r="AD320" s="419">
        <v>-2090.1849999999999</v>
      </c>
      <c r="AE320" s="419">
        <v>-402.99779999999998</v>
      </c>
      <c r="AF320" s="420">
        <v>0.85360000000000003</v>
      </c>
      <c r="AG320" s="370"/>
    </row>
    <row r="321" spans="1:33">
      <c r="A321" s="370"/>
      <c r="B321" s="406">
        <f t="shared" si="5"/>
        <v>316</v>
      </c>
      <c r="C321" s="407">
        <v>-0.1205</v>
      </c>
      <c r="D321" s="407">
        <v>-1.5E-3</v>
      </c>
      <c r="E321" s="407">
        <v>0.28260000000000002</v>
      </c>
      <c r="F321" s="407">
        <v>-1.12E-2</v>
      </c>
      <c r="G321" s="407">
        <v>3.5000000000000001E-3</v>
      </c>
      <c r="H321" s="409">
        <v>5.1000000000000004E-3</v>
      </c>
      <c r="I321" s="409">
        <v>-7.1999999999999998E-3</v>
      </c>
      <c r="J321" s="407">
        <v>-6.9999999999999999E-4</v>
      </c>
      <c r="K321" s="410">
        <v>-1.33</v>
      </c>
      <c r="L321" s="422">
        <v>-1.3899999999999999E-2</v>
      </c>
      <c r="M321" s="412">
        <v>-1.201E-2</v>
      </c>
      <c r="N321" s="413">
        <v>-1E-4</v>
      </c>
      <c r="O321" s="415">
        <v>-4.3685</v>
      </c>
      <c r="P321" s="415">
        <v>-0.88500000000000001</v>
      </c>
      <c r="Q321" s="415">
        <v>-0.45729999999999998</v>
      </c>
      <c r="R321" s="415">
        <v>-0.1484</v>
      </c>
      <c r="S321" s="415">
        <v>0.12859999999999999</v>
      </c>
      <c r="T321" s="415">
        <v>7.9399999999999998E-2</v>
      </c>
      <c r="U321" s="415">
        <v>-4.0800000000000003E-2</v>
      </c>
      <c r="V321" s="415">
        <v>-3.9600000000000003E-2</v>
      </c>
      <c r="W321" s="415">
        <v>-3.6999999999999998E-2</v>
      </c>
      <c r="X321" s="416">
        <v>-3.5623</v>
      </c>
      <c r="Y321" s="418">
        <v>-0.19489999999999999</v>
      </c>
      <c r="Z321" s="418">
        <v>-0.19289999999999999</v>
      </c>
      <c r="AA321" s="418">
        <v>-0.1203</v>
      </c>
      <c r="AB321" s="419">
        <v>-15038.053900000001</v>
      </c>
      <c r="AC321" s="419">
        <v>-2660.9178000000002</v>
      </c>
      <c r="AD321" s="419">
        <v>-2126.3454000000002</v>
      </c>
      <c r="AE321" s="419">
        <v>-409.96969999999999</v>
      </c>
      <c r="AF321" s="420">
        <v>0.85970000000000002</v>
      </c>
      <c r="AG321" s="370"/>
    </row>
    <row r="322" spans="1:33">
      <c r="A322" s="370"/>
      <c r="B322" s="406">
        <f t="shared" si="5"/>
        <v>317</v>
      </c>
      <c r="C322" s="407">
        <v>-0.1183</v>
      </c>
      <c r="D322" s="407">
        <v>-1.4E-3</v>
      </c>
      <c r="E322" s="407">
        <v>0.27739999999999998</v>
      </c>
      <c r="F322" s="407">
        <v>-1.0999999999999999E-2</v>
      </c>
      <c r="G322" s="407">
        <v>3.5000000000000001E-3</v>
      </c>
      <c r="H322" s="409">
        <v>5.0000000000000001E-3</v>
      </c>
      <c r="I322" s="409">
        <v>-7.1000000000000004E-3</v>
      </c>
      <c r="J322" s="407">
        <v>-6.9999999999999999E-4</v>
      </c>
      <c r="K322" s="410">
        <v>-1.3058000000000001</v>
      </c>
      <c r="L322" s="422">
        <v>-1.3599999999999999E-2</v>
      </c>
      <c r="M322" s="412">
        <v>-1.221E-2</v>
      </c>
      <c r="N322" s="413">
        <v>-1E-4</v>
      </c>
      <c r="O322" s="415">
        <v>-4.2888999999999999</v>
      </c>
      <c r="P322" s="415">
        <v>-0.86890000000000001</v>
      </c>
      <c r="Q322" s="415">
        <v>-0.44900000000000001</v>
      </c>
      <c r="R322" s="415">
        <v>-0.1457</v>
      </c>
      <c r="S322" s="415">
        <v>0.12620000000000001</v>
      </c>
      <c r="T322" s="415">
        <v>7.8E-2</v>
      </c>
      <c r="U322" s="415">
        <v>-4.0099999999999997E-2</v>
      </c>
      <c r="V322" s="415">
        <v>-3.8899999999999997E-2</v>
      </c>
      <c r="W322" s="415">
        <v>-3.6400000000000002E-2</v>
      </c>
      <c r="X322" s="416">
        <v>-3.4973999999999998</v>
      </c>
      <c r="Y322" s="418">
        <v>-0.19139999999999999</v>
      </c>
      <c r="Z322" s="418">
        <v>-0.18940000000000001</v>
      </c>
      <c r="AA322" s="418">
        <v>-0.1181</v>
      </c>
      <c r="AB322" s="419">
        <v>-15289.2088</v>
      </c>
      <c r="AC322" s="419">
        <v>-2705.3584999999998</v>
      </c>
      <c r="AD322" s="419">
        <v>-2161.8580999999999</v>
      </c>
      <c r="AE322" s="419">
        <v>-416.8168</v>
      </c>
      <c r="AF322" s="420">
        <v>0.86570000000000003</v>
      </c>
      <c r="AG322" s="370"/>
    </row>
    <row r="323" spans="1:33">
      <c r="A323" s="370"/>
      <c r="B323" s="406">
        <f t="shared" si="5"/>
        <v>318</v>
      </c>
      <c r="C323" s="407">
        <v>-0.11600000000000001</v>
      </c>
      <c r="D323" s="407">
        <v>-1.4E-3</v>
      </c>
      <c r="E323" s="407">
        <v>0.2722</v>
      </c>
      <c r="F323" s="407">
        <v>-1.0800000000000001E-2</v>
      </c>
      <c r="G323" s="407">
        <v>3.3999999999999998E-3</v>
      </c>
      <c r="H323" s="409">
        <v>5.0000000000000001E-3</v>
      </c>
      <c r="I323" s="409">
        <v>-7.0000000000000001E-3</v>
      </c>
      <c r="J323" s="407">
        <v>-6.9999999999999999E-4</v>
      </c>
      <c r="K323" s="410">
        <v>-1.2810999999999999</v>
      </c>
      <c r="L323" s="422">
        <v>-1.34E-2</v>
      </c>
      <c r="M323" s="412">
        <v>-1.2409999999999999E-2</v>
      </c>
      <c r="N323" s="413">
        <v>-1E-4</v>
      </c>
      <c r="O323" s="415">
        <v>-4.2080000000000002</v>
      </c>
      <c r="P323" s="415">
        <v>-0.85250000000000004</v>
      </c>
      <c r="Q323" s="415">
        <v>-0.4405</v>
      </c>
      <c r="R323" s="415">
        <v>-0.1429</v>
      </c>
      <c r="S323" s="415">
        <v>0.1239</v>
      </c>
      <c r="T323" s="415">
        <v>7.6499999999999999E-2</v>
      </c>
      <c r="U323" s="415">
        <v>-3.9300000000000002E-2</v>
      </c>
      <c r="V323" s="415">
        <v>-3.8199999999999998E-2</v>
      </c>
      <c r="W323" s="415">
        <v>-3.5700000000000003E-2</v>
      </c>
      <c r="X323" s="416">
        <v>-3.4314</v>
      </c>
      <c r="Y323" s="418">
        <v>-0.18779999999999999</v>
      </c>
      <c r="Z323" s="418">
        <v>-0.18579999999999999</v>
      </c>
      <c r="AA323" s="418">
        <v>-0.1159</v>
      </c>
      <c r="AB323" s="419">
        <v>-15535.706399999999</v>
      </c>
      <c r="AC323" s="419">
        <v>-2748.9751999999999</v>
      </c>
      <c r="AD323" s="419">
        <v>-2196.7123000000001</v>
      </c>
      <c r="AE323" s="419">
        <v>-423.53680000000003</v>
      </c>
      <c r="AF323" s="420">
        <v>0.87160000000000004</v>
      </c>
      <c r="AG323" s="370"/>
    </row>
    <row r="324" spans="1:33">
      <c r="A324" s="370"/>
      <c r="B324" s="406">
        <f t="shared" si="5"/>
        <v>319</v>
      </c>
      <c r="C324" s="407">
        <v>-0.1138</v>
      </c>
      <c r="D324" s="407">
        <v>-1.4E-3</v>
      </c>
      <c r="E324" s="407">
        <v>0.26690000000000003</v>
      </c>
      <c r="F324" s="407">
        <v>-1.06E-2</v>
      </c>
      <c r="G324" s="407">
        <v>3.3E-3</v>
      </c>
      <c r="H324" s="409">
        <v>4.8999999999999998E-3</v>
      </c>
      <c r="I324" s="409">
        <v>-6.7999999999999996E-3</v>
      </c>
      <c r="J324" s="407">
        <v>-6.9999999999999999E-4</v>
      </c>
      <c r="K324" s="410">
        <v>-1.2561</v>
      </c>
      <c r="L324" s="422">
        <v>-1.3100000000000001E-2</v>
      </c>
      <c r="M324" s="412">
        <v>-1.26E-2</v>
      </c>
      <c r="N324" s="413">
        <v>-1.1E-4</v>
      </c>
      <c r="O324" s="415">
        <v>-4.1257999999999999</v>
      </c>
      <c r="P324" s="415">
        <v>-0.83579999999999999</v>
      </c>
      <c r="Q324" s="415">
        <v>-0.43190000000000001</v>
      </c>
      <c r="R324" s="415">
        <v>-0.1401</v>
      </c>
      <c r="S324" s="415">
        <v>0.12139999999999999</v>
      </c>
      <c r="T324" s="415">
        <v>7.4999999999999997E-2</v>
      </c>
      <c r="U324" s="415">
        <v>-3.8600000000000002E-2</v>
      </c>
      <c r="V324" s="415">
        <v>-3.7400000000000003E-2</v>
      </c>
      <c r="W324" s="415">
        <v>-3.5000000000000003E-2</v>
      </c>
      <c r="X324" s="416">
        <v>-3.3643999999999998</v>
      </c>
      <c r="Y324" s="418">
        <v>-0.18410000000000001</v>
      </c>
      <c r="Z324" s="418">
        <v>-0.1822</v>
      </c>
      <c r="AA324" s="418">
        <v>-0.1137</v>
      </c>
      <c r="AB324" s="419">
        <v>-15777.4717</v>
      </c>
      <c r="AC324" s="419">
        <v>-2791.7545</v>
      </c>
      <c r="AD324" s="419">
        <v>-2230.8973999999998</v>
      </c>
      <c r="AE324" s="419">
        <v>-430.12790000000001</v>
      </c>
      <c r="AF324" s="420">
        <v>0.87739999999999996</v>
      </c>
      <c r="AG324" s="370"/>
    </row>
    <row r="325" spans="1:33">
      <c r="A325" s="370"/>
      <c r="B325" s="406">
        <f t="shared" si="5"/>
        <v>320</v>
      </c>
      <c r="C325" s="407">
        <v>-0.1115</v>
      </c>
      <c r="D325" s="407">
        <v>-1.2999999999999999E-3</v>
      </c>
      <c r="E325" s="407">
        <v>0.26150000000000001</v>
      </c>
      <c r="F325" s="407">
        <v>-1.03E-2</v>
      </c>
      <c r="G325" s="407">
        <v>3.3E-3</v>
      </c>
      <c r="H325" s="409">
        <v>4.7999999999999996E-3</v>
      </c>
      <c r="I325" s="409">
        <v>-6.7000000000000002E-3</v>
      </c>
      <c r="J325" s="407">
        <v>-5.9999999999999995E-4</v>
      </c>
      <c r="K325" s="410">
        <v>-1.2306999999999999</v>
      </c>
      <c r="L325" s="422">
        <v>-1.29E-2</v>
      </c>
      <c r="M325" s="412">
        <v>-1.2789999999999999E-2</v>
      </c>
      <c r="N325" s="413">
        <v>-1.1E-4</v>
      </c>
      <c r="O325" s="415">
        <v>-4.0423</v>
      </c>
      <c r="P325" s="415">
        <v>-0.81889999999999996</v>
      </c>
      <c r="Q325" s="415">
        <v>-0.42320000000000002</v>
      </c>
      <c r="R325" s="415">
        <v>-0.13730000000000001</v>
      </c>
      <c r="S325" s="415">
        <v>0.11899999999999999</v>
      </c>
      <c r="T325" s="415">
        <v>7.3499999999999996E-2</v>
      </c>
      <c r="U325" s="415">
        <v>-3.78E-2</v>
      </c>
      <c r="V325" s="415">
        <v>-3.6700000000000003E-2</v>
      </c>
      <c r="W325" s="415">
        <v>-3.4299999999999997E-2</v>
      </c>
      <c r="X325" s="416">
        <v>-3.2963</v>
      </c>
      <c r="Y325" s="418">
        <v>-0.1804</v>
      </c>
      <c r="Z325" s="418">
        <v>-0.17849999999999999</v>
      </c>
      <c r="AA325" s="418">
        <v>-0.1114</v>
      </c>
      <c r="AB325" s="419">
        <v>-16014.431</v>
      </c>
      <c r="AC325" s="419">
        <v>-2833.6833999999999</v>
      </c>
      <c r="AD325" s="419">
        <v>-2264.4029</v>
      </c>
      <c r="AE325" s="419">
        <v>-436.58789999999999</v>
      </c>
      <c r="AF325" s="420">
        <v>0.88300000000000001</v>
      </c>
      <c r="AG325" s="370"/>
    </row>
    <row r="326" spans="1:33">
      <c r="A326" s="370"/>
      <c r="B326" s="406">
        <f t="shared" si="5"/>
        <v>321</v>
      </c>
      <c r="C326" s="407">
        <v>-0.1091</v>
      </c>
      <c r="D326" s="407">
        <v>-1.2999999999999999E-3</v>
      </c>
      <c r="E326" s="407">
        <v>0.25600000000000001</v>
      </c>
      <c r="F326" s="407">
        <v>-1.01E-2</v>
      </c>
      <c r="G326" s="407">
        <v>3.2000000000000002E-3</v>
      </c>
      <c r="H326" s="409">
        <v>4.7000000000000002E-3</v>
      </c>
      <c r="I326" s="409">
        <v>-6.4999999999999997E-3</v>
      </c>
      <c r="J326" s="407">
        <v>-5.9999999999999995E-4</v>
      </c>
      <c r="K326" s="410">
        <v>-1.2049000000000001</v>
      </c>
      <c r="L326" s="422">
        <v>-1.26E-2</v>
      </c>
      <c r="M326" s="412">
        <v>-1.298E-2</v>
      </c>
      <c r="N326" s="413">
        <v>-1.1E-4</v>
      </c>
      <c r="O326" s="415">
        <v>-3.9577</v>
      </c>
      <c r="P326" s="415">
        <v>-0.80179999999999996</v>
      </c>
      <c r="Q326" s="415">
        <v>-0.4143</v>
      </c>
      <c r="R326" s="415">
        <v>-0.13439999999999999</v>
      </c>
      <c r="S326" s="415">
        <v>0.11650000000000001</v>
      </c>
      <c r="T326" s="415">
        <v>7.1999999999999995E-2</v>
      </c>
      <c r="U326" s="415">
        <v>-3.6999999999999998E-2</v>
      </c>
      <c r="V326" s="415">
        <v>-3.5900000000000001E-2</v>
      </c>
      <c r="W326" s="415">
        <v>-3.3599999999999998E-2</v>
      </c>
      <c r="X326" s="416">
        <v>-3.2273000000000001</v>
      </c>
      <c r="Y326" s="418">
        <v>-0.17660000000000001</v>
      </c>
      <c r="Z326" s="418">
        <v>-0.17480000000000001</v>
      </c>
      <c r="AA326" s="418">
        <v>-0.109</v>
      </c>
      <c r="AB326" s="419">
        <v>-16246.512199999999</v>
      </c>
      <c r="AC326" s="419">
        <v>-2874.7492000000002</v>
      </c>
      <c r="AD326" s="419">
        <v>-2297.2186000000002</v>
      </c>
      <c r="AE326" s="419">
        <v>-442.91489999999999</v>
      </c>
      <c r="AF326" s="420">
        <v>0.88859999999999995</v>
      </c>
      <c r="AG326" s="370"/>
    </row>
    <row r="327" spans="1:33">
      <c r="A327" s="370"/>
      <c r="B327" s="406">
        <f t="shared" si="5"/>
        <v>322</v>
      </c>
      <c r="C327" s="407">
        <v>-0.10680000000000001</v>
      </c>
      <c r="D327" s="407">
        <v>-1.2999999999999999E-3</v>
      </c>
      <c r="E327" s="407">
        <v>0.2505</v>
      </c>
      <c r="F327" s="407">
        <v>-9.9000000000000008E-3</v>
      </c>
      <c r="G327" s="407">
        <v>3.0999999999999999E-3</v>
      </c>
      <c r="H327" s="409">
        <v>4.5999999999999999E-3</v>
      </c>
      <c r="I327" s="409">
        <v>-6.4000000000000003E-3</v>
      </c>
      <c r="J327" s="407">
        <v>-5.9999999999999995E-4</v>
      </c>
      <c r="K327" s="410">
        <v>-1.1787000000000001</v>
      </c>
      <c r="L327" s="422">
        <v>-1.23E-2</v>
      </c>
      <c r="M327" s="412">
        <v>-1.316E-2</v>
      </c>
      <c r="N327" s="413">
        <v>-1.1E-4</v>
      </c>
      <c r="O327" s="415">
        <v>-3.8717999999999999</v>
      </c>
      <c r="P327" s="415">
        <v>-0.78439999999999999</v>
      </c>
      <c r="Q327" s="415">
        <v>-0.40529999999999999</v>
      </c>
      <c r="R327" s="415">
        <v>-0.13150000000000001</v>
      </c>
      <c r="S327" s="415">
        <v>0.114</v>
      </c>
      <c r="T327" s="415">
        <v>7.0400000000000004E-2</v>
      </c>
      <c r="U327" s="415">
        <v>-3.6200000000000003E-2</v>
      </c>
      <c r="V327" s="415">
        <v>-3.5099999999999999E-2</v>
      </c>
      <c r="W327" s="415">
        <v>-3.2800000000000003E-2</v>
      </c>
      <c r="X327" s="416">
        <v>-3.1572</v>
      </c>
      <c r="Y327" s="418">
        <v>-0.17280000000000001</v>
      </c>
      <c r="Z327" s="418">
        <v>-0.17100000000000001</v>
      </c>
      <c r="AA327" s="418">
        <v>-0.1067</v>
      </c>
      <c r="AB327" s="419">
        <v>-16473.644499999999</v>
      </c>
      <c r="AC327" s="419">
        <v>-2914.9391999999998</v>
      </c>
      <c r="AD327" s="419">
        <v>-2329.3346000000001</v>
      </c>
      <c r="AE327" s="419">
        <v>-449.10700000000003</v>
      </c>
      <c r="AF327" s="420">
        <v>0.89400000000000002</v>
      </c>
      <c r="AG327" s="370"/>
    </row>
    <row r="328" spans="1:33">
      <c r="A328" s="370"/>
      <c r="B328" s="406">
        <f t="shared" ref="B328:B366" si="6">B327+1</f>
        <v>323</v>
      </c>
      <c r="C328" s="407">
        <v>-0.10440000000000001</v>
      </c>
      <c r="D328" s="407">
        <v>-1.2999999999999999E-3</v>
      </c>
      <c r="E328" s="407">
        <v>0.24479999999999999</v>
      </c>
      <c r="F328" s="407">
        <v>-9.7000000000000003E-3</v>
      </c>
      <c r="G328" s="407">
        <v>3.0999999999999999E-3</v>
      </c>
      <c r="H328" s="409">
        <v>4.4999999999999997E-3</v>
      </c>
      <c r="I328" s="409">
        <v>-6.3E-3</v>
      </c>
      <c r="J328" s="407">
        <v>-5.9999999999999995E-4</v>
      </c>
      <c r="K328" s="410">
        <v>-1.1521999999999999</v>
      </c>
      <c r="L328" s="422">
        <v>-1.2E-2</v>
      </c>
      <c r="M328" s="412">
        <v>-1.3339999999999999E-2</v>
      </c>
      <c r="N328" s="413">
        <v>-1.1E-4</v>
      </c>
      <c r="O328" s="415">
        <v>-3.7847</v>
      </c>
      <c r="P328" s="415">
        <v>-0.76670000000000005</v>
      </c>
      <c r="Q328" s="415">
        <v>-0.3962</v>
      </c>
      <c r="R328" s="415">
        <v>-0.12859999999999999</v>
      </c>
      <c r="S328" s="415">
        <v>0.1114</v>
      </c>
      <c r="T328" s="415">
        <v>6.88E-2</v>
      </c>
      <c r="U328" s="415">
        <v>-3.5400000000000001E-2</v>
      </c>
      <c r="V328" s="415">
        <v>-3.4299999999999997E-2</v>
      </c>
      <c r="W328" s="415">
        <v>-3.2099999999999997E-2</v>
      </c>
      <c r="X328" s="416">
        <v>-3.0861999999999998</v>
      </c>
      <c r="Y328" s="418">
        <v>-0.16889999999999999</v>
      </c>
      <c r="Z328" s="418">
        <v>-0.1671</v>
      </c>
      <c r="AA328" s="418">
        <v>-0.1043</v>
      </c>
      <c r="AB328" s="419">
        <v>-16695.758900000001</v>
      </c>
      <c r="AC328" s="419">
        <v>-2954.2413999999999</v>
      </c>
      <c r="AD328" s="419">
        <v>-2360.741</v>
      </c>
      <c r="AE328" s="419">
        <v>-455.16230000000002</v>
      </c>
      <c r="AF328" s="420">
        <v>0.89929999999999999</v>
      </c>
      <c r="AG328" s="370"/>
    </row>
    <row r="329" spans="1:33">
      <c r="A329" s="370"/>
      <c r="B329" s="406">
        <f t="shared" si="6"/>
        <v>324</v>
      </c>
      <c r="C329" s="407">
        <v>-0.1019</v>
      </c>
      <c r="D329" s="407">
        <v>-1.1999999999999999E-3</v>
      </c>
      <c r="E329" s="407">
        <v>0.23910000000000001</v>
      </c>
      <c r="F329" s="407">
        <v>-9.4999999999999998E-3</v>
      </c>
      <c r="G329" s="407">
        <v>3.0000000000000001E-3</v>
      </c>
      <c r="H329" s="409">
        <v>4.3E-3</v>
      </c>
      <c r="I329" s="409">
        <v>-6.1000000000000004E-3</v>
      </c>
      <c r="J329" s="407">
        <v>-5.9999999999999995E-4</v>
      </c>
      <c r="K329" s="410">
        <v>-1.1254</v>
      </c>
      <c r="L329" s="422">
        <v>-1.18E-2</v>
      </c>
      <c r="M329" s="412">
        <v>-1.3509999999999999E-2</v>
      </c>
      <c r="N329" s="413">
        <v>-1.1E-4</v>
      </c>
      <c r="O329" s="415">
        <v>-3.6964000000000001</v>
      </c>
      <c r="P329" s="415">
        <v>-0.74890000000000001</v>
      </c>
      <c r="Q329" s="415">
        <v>-0.38690000000000002</v>
      </c>
      <c r="R329" s="415">
        <v>-0.12559999999999999</v>
      </c>
      <c r="S329" s="415">
        <v>0.10879999999999999</v>
      </c>
      <c r="T329" s="415">
        <v>6.7199999999999996E-2</v>
      </c>
      <c r="U329" s="415">
        <v>-3.4599999999999999E-2</v>
      </c>
      <c r="V329" s="415">
        <v>-3.3500000000000002E-2</v>
      </c>
      <c r="W329" s="415">
        <v>-3.1300000000000001E-2</v>
      </c>
      <c r="X329" s="416">
        <v>-3.0143</v>
      </c>
      <c r="Y329" s="418">
        <v>-0.16489999999999999</v>
      </c>
      <c r="Z329" s="418">
        <v>-0.16320000000000001</v>
      </c>
      <c r="AA329" s="418">
        <v>-0.1018</v>
      </c>
      <c r="AB329" s="419">
        <v>-16912.787499999999</v>
      </c>
      <c r="AC329" s="419">
        <v>-2992.6437000000001</v>
      </c>
      <c r="AD329" s="419">
        <v>-2391.4283</v>
      </c>
      <c r="AE329" s="419">
        <v>-461.07900000000001</v>
      </c>
      <c r="AF329" s="420">
        <v>0.90449999999999997</v>
      </c>
      <c r="AG329" s="370"/>
    </row>
    <row r="330" spans="1:33">
      <c r="A330" s="370"/>
      <c r="B330" s="406">
        <f t="shared" si="6"/>
        <v>325</v>
      </c>
      <c r="C330" s="407">
        <v>-9.9500000000000005E-2</v>
      </c>
      <c r="D330" s="407">
        <v>-1.1999999999999999E-3</v>
      </c>
      <c r="E330" s="407">
        <v>0.23330000000000001</v>
      </c>
      <c r="F330" s="407">
        <v>-9.1999999999999998E-3</v>
      </c>
      <c r="G330" s="407">
        <v>2.8999999999999998E-3</v>
      </c>
      <c r="H330" s="409">
        <v>4.1999999999999997E-3</v>
      </c>
      <c r="I330" s="409">
        <v>-6.0000000000000001E-3</v>
      </c>
      <c r="J330" s="407">
        <v>-5.9999999999999995E-4</v>
      </c>
      <c r="K330" s="410">
        <v>-1.0982000000000001</v>
      </c>
      <c r="L330" s="422">
        <v>-1.15E-2</v>
      </c>
      <c r="M330" s="412">
        <v>-1.3679999999999999E-2</v>
      </c>
      <c r="N330" s="413">
        <v>-1.1E-4</v>
      </c>
      <c r="O330" s="415">
        <v>-3.6071</v>
      </c>
      <c r="P330" s="415">
        <v>-0.73080000000000001</v>
      </c>
      <c r="Q330" s="415">
        <v>-0.37759999999999999</v>
      </c>
      <c r="R330" s="415">
        <v>-0.1225</v>
      </c>
      <c r="S330" s="415">
        <v>0.1062</v>
      </c>
      <c r="T330" s="415">
        <v>6.5600000000000006E-2</v>
      </c>
      <c r="U330" s="415">
        <v>-3.3700000000000001E-2</v>
      </c>
      <c r="V330" s="415">
        <v>-3.27E-2</v>
      </c>
      <c r="W330" s="415">
        <v>-3.0599999999999999E-2</v>
      </c>
      <c r="X330" s="416">
        <v>-2.9413999999999998</v>
      </c>
      <c r="Y330" s="418">
        <v>-0.16089999999999999</v>
      </c>
      <c r="Z330" s="418">
        <v>-0.1593</v>
      </c>
      <c r="AA330" s="418">
        <v>-9.9400000000000002E-2</v>
      </c>
      <c r="AB330" s="419">
        <v>-17124.6643</v>
      </c>
      <c r="AC330" s="419">
        <v>-3030.1343000000002</v>
      </c>
      <c r="AD330" s="419">
        <v>-2421.3872000000001</v>
      </c>
      <c r="AE330" s="419">
        <v>-466.85520000000002</v>
      </c>
      <c r="AF330" s="420">
        <v>0.90959999999999996</v>
      </c>
      <c r="AG330" s="370"/>
    </row>
    <row r="331" spans="1:33">
      <c r="A331" s="370"/>
      <c r="B331" s="406">
        <f t="shared" si="6"/>
        <v>326</v>
      </c>
      <c r="C331" s="407">
        <v>-9.7000000000000003E-2</v>
      </c>
      <c r="D331" s="407">
        <v>-1.1999999999999999E-3</v>
      </c>
      <c r="E331" s="407">
        <v>0.22750000000000001</v>
      </c>
      <c r="F331" s="407">
        <v>-8.9999999999999993E-3</v>
      </c>
      <c r="G331" s="407">
        <v>2.8999999999999998E-3</v>
      </c>
      <c r="H331" s="409">
        <v>4.1000000000000003E-3</v>
      </c>
      <c r="I331" s="409">
        <v>-5.7999999999999996E-3</v>
      </c>
      <c r="J331" s="407">
        <v>-5.9999999999999995E-4</v>
      </c>
      <c r="K331" s="410">
        <v>-1.0706</v>
      </c>
      <c r="L331" s="422">
        <v>-1.12E-2</v>
      </c>
      <c r="M331" s="412">
        <v>-1.384E-2</v>
      </c>
      <c r="N331" s="413">
        <v>-1.2E-4</v>
      </c>
      <c r="O331" s="415">
        <v>-3.5165999999999999</v>
      </c>
      <c r="P331" s="415">
        <v>-0.71240000000000003</v>
      </c>
      <c r="Q331" s="415">
        <v>-0.36809999999999998</v>
      </c>
      <c r="R331" s="415">
        <v>-0.1195</v>
      </c>
      <c r="S331" s="415">
        <v>0.10349999999999999</v>
      </c>
      <c r="T331" s="415">
        <v>6.3899999999999998E-2</v>
      </c>
      <c r="U331" s="415">
        <v>-3.2899999999999999E-2</v>
      </c>
      <c r="V331" s="415">
        <v>-3.1899999999999998E-2</v>
      </c>
      <c r="W331" s="415">
        <v>-2.98E-2</v>
      </c>
      <c r="X331" s="416">
        <v>-2.8675999999999999</v>
      </c>
      <c r="Y331" s="418">
        <v>-0.15690000000000001</v>
      </c>
      <c r="Z331" s="418">
        <v>-0.15529999999999999</v>
      </c>
      <c r="AA331" s="418">
        <v>-9.69E-2</v>
      </c>
      <c r="AB331" s="419">
        <v>-17331.324799999999</v>
      </c>
      <c r="AC331" s="419">
        <v>-3066.7020000000002</v>
      </c>
      <c r="AD331" s="419">
        <v>-2450.6084999999998</v>
      </c>
      <c r="AE331" s="419">
        <v>-472.48919999999998</v>
      </c>
      <c r="AF331" s="420">
        <v>0.91449999999999998</v>
      </c>
      <c r="AG331" s="370"/>
    </row>
    <row r="332" spans="1:33">
      <c r="A332" s="370"/>
      <c r="B332" s="406">
        <f t="shared" si="6"/>
        <v>327</v>
      </c>
      <c r="C332" s="407">
        <v>-9.4399999999999998E-2</v>
      </c>
      <c r="D332" s="407">
        <v>-1.1000000000000001E-3</v>
      </c>
      <c r="E332" s="407">
        <v>0.22159999999999999</v>
      </c>
      <c r="F332" s="407">
        <v>-8.8000000000000005E-3</v>
      </c>
      <c r="G332" s="407">
        <v>2.8E-3</v>
      </c>
      <c r="H332" s="409">
        <v>4.0000000000000001E-3</v>
      </c>
      <c r="I332" s="409">
        <v>-5.7000000000000002E-3</v>
      </c>
      <c r="J332" s="407">
        <v>-5.0000000000000001E-4</v>
      </c>
      <c r="K332" s="410">
        <v>-1.0427999999999999</v>
      </c>
      <c r="L332" s="422">
        <v>-1.09E-2</v>
      </c>
      <c r="M332" s="412">
        <v>-1.401E-2</v>
      </c>
      <c r="N332" s="413">
        <v>-1.2E-4</v>
      </c>
      <c r="O332" s="415">
        <v>-3.4251</v>
      </c>
      <c r="P332" s="415">
        <v>-0.69389999999999996</v>
      </c>
      <c r="Q332" s="415">
        <v>-0.35849999999999999</v>
      </c>
      <c r="R332" s="415">
        <v>-0.1163</v>
      </c>
      <c r="S332" s="415">
        <v>0.1008</v>
      </c>
      <c r="T332" s="415">
        <v>6.2300000000000001E-2</v>
      </c>
      <c r="U332" s="415">
        <v>-3.2000000000000001E-2</v>
      </c>
      <c r="V332" s="415">
        <v>-3.1099999999999999E-2</v>
      </c>
      <c r="W332" s="415">
        <v>-2.9000000000000001E-2</v>
      </c>
      <c r="X332" s="416">
        <v>-2.7930000000000001</v>
      </c>
      <c r="Y332" s="418">
        <v>-0.15279999999999999</v>
      </c>
      <c r="Z332" s="418">
        <v>-0.1512</v>
      </c>
      <c r="AA332" s="418">
        <v>-9.4399999999999998E-2</v>
      </c>
      <c r="AB332" s="419">
        <v>-17532.705999999998</v>
      </c>
      <c r="AC332" s="419">
        <v>-3102.3355000000001</v>
      </c>
      <c r="AD332" s="419">
        <v>-2479.0834</v>
      </c>
      <c r="AE332" s="419">
        <v>-477.97930000000002</v>
      </c>
      <c r="AF332" s="420">
        <v>0.91930000000000001</v>
      </c>
      <c r="AG332" s="370"/>
    </row>
    <row r="333" spans="1:33">
      <c r="A333" s="370"/>
      <c r="B333" s="406">
        <f t="shared" si="6"/>
        <v>328</v>
      </c>
      <c r="C333" s="407">
        <v>-9.1899999999999996E-2</v>
      </c>
      <c r="D333" s="407">
        <v>-1.1000000000000001E-3</v>
      </c>
      <c r="E333" s="407">
        <v>0.21560000000000001</v>
      </c>
      <c r="F333" s="407">
        <v>-8.5000000000000006E-3</v>
      </c>
      <c r="G333" s="407">
        <v>2.7000000000000001E-3</v>
      </c>
      <c r="H333" s="409">
        <v>3.8999999999999998E-3</v>
      </c>
      <c r="I333" s="409">
        <v>-5.4999999999999997E-3</v>
      </c>
      <c r="J333" s="407">
        <v>-5.0000000000000001E-4</v>
      </c>
      <c r="K333" s="410">
        <v>-1.0145999999999999</v>
      </c>
      <c r="L333" s="422">
        <v>-1.06E-2</v>
      </c>
      <c r="M333" s="412">
        <v>-1.4160000000000001E-2</v>
      </c>
      <c r="N333" s="413">
        <v>-1.2E-4</v>
      </c>
      <c r="O333" s="415">
        <v>-3.3325</v>
      </c>
      <c r="P333" s="415">
        <v>-0.67510000000000003</v>
      </c>
      <c r="Q333" s="415">
        <v>-0.34889999999999999</v>
      </c>
      <c r="R333" s="415">
        <v>-0.1132</v>
      </c>
      <c r="S333" s="415">
        <v>9.8100000000000007E-2</v>
      </c>
      <c r="T333" s="415">
        <v>6.0600000000000001E-2</v>
      </c>
      <c r="U333" s="415">
        <v>-3.1199999999999999E-2</v>
      </c>
      <c r="V333" s="415">
        <v>-3.0200000000000001E-2</v>
      </c>
      <c r="W333" s="415">
        <v>-2.8299999999999999E-2</v>
      </c>
      <c r="X333" s="416">
        <v>-2.7174999999999998</v>
      </c>
      <c r="Y333" s="418">
        <v>-0.1487</v>
      </c>
      <c r="Z333" s="418">
        <v>-0.1472</v>
      </c>
      <c r="AA333" s="418">
        <v>-9.1800000000000007E-2</v>
      </c>
      <c r="AB333" s="419">
        <v>-17728.746500000001</v>
      </c>
      <c r="AC333" s="419">
        <v>-3137.0239999999999</v>
      </c>
      <c r="AD333" s="419">
        <v>-2506.8029999999999</v>
      </c>
      <c r="AE333" s="419">
        <v>-483.32380000000001</v>
      </c>
      <c r="AF333" s="420">
        <v>0.92400000000000004</v>
      </c>
      <c r="AG333" s="370"/>
    </row>
    <row r="334" spans="1:33">
      <c r="A334" s="370"/>
      <c r="B334" s="406">
        <f t="shared" si="6"/>
        <v>329</v>
      </c>
      <c r="C334" s="407">
        <v>-8.9300000000000004E-2</v>
      </c>
      <c r="D334" s="407">
        <v>-1.1000000000000001E-3</v>
      </c>
      <c r="E334" s="407">
        <v>0.20949999999999999</v>
      </c>
      <c r="F334" s="407">
        <v>-8.3000000000000001E-3</v>
      </c>
      <c r="G334" s="407">
        <v>2.5999999999999999E-3</v>
      </c>
      <c r="H334" s="409">
        <v>3.8E-3</v>
      </c>
      <c r="I334" s="409">
        <v>-5.4000000000000003E-3</v>
      </c>
      <c r="J334" s="407">
        <v>-5.0000000000000001E-4</v>
      </c>
      <c r="K334" s="410">
        <v>-0.98609999999999998</v>
      </c>
      <c r="L334" s="422">
        <v>-1.03E-2</v>
      </c>
      <c r="M334" s="412">
        <v>-1.431E-2</v>
      </c>
      <c r="N334" s="413">
        <v>-1.2E-4</v>
      </c>
      <c r="O334" s="415">
        <v>-3.2389999999999999</v>
      </c>
      <c r="P334" s="415">
        <v>-0.65620000000000001</v>
      </c>
      <c r="Q334" s="415">
        <v>-0.33910000000000001</v>
      </c>
      <c r="R334" s="415">
        <v>-0.11</v>
      </c>
      <c r="S334" s="415">
        <v>9.5299999999999996E-2</v>
      </c>
      <c r="T334" s="415">
        <v>5.8900000000000001E-2</v>
      </c>
      <c r="U334" s="415">
        <v>-3.0300000000000001E-2</v>
      </c>
      <c r="V334" s="415">
        <v>-2.9399999999999999E-2</v>
      </c>
      <c r="W334" s="415">
        <v>-2.75E-2</v>
      </c>
      <c r="X334" s="416">
        <v>-2.6412</v>
      </c>
      <c r="Y334" s="418">
        <v>-0.14449999999999999</v>
      </c>
      <c r="Z334" s="418">
        <v>-0.14299999999999999</v>
      </c>
      <c r="AA334" s="418">
        <v>-8.9200000000000002E-2</v>
      </c>
      <c r="AB334" s="419">
        <v>-17919.386699999999</v>
      </c>
      <c r="AC334" s="419">
        <v>-3170.7570000000001</v>
      </c>
      <c r="AD334" s="419">
        <v>-2533.7591000000002</v>
      </c>
      <c r="AE334" s="419">
        <v>-488.52109999999999</v>
      </c>
      <c r="AF334" s="420">
        <v>0.92859999999999998</v>
      </c>
      <c r="AG334" s="370"/>
    </row>
    <row r="335" spans="1:33">
      <c r="A335" s="370"/>
      <c r="B335" s="406">
        <f t="shared" si="6"/>
        <v>330</v>
      </c>
      <c r="C335" s="407">
        <v>-8.6699999999999999E-2</v>
      </c>
      <c r="D335" s="407">
        <v>-1.1000000000000001E-3</v>
      </c>
      <c r="E335" s="407">
        <v>0.2034</v>
      </c>
      <c r="F335" s="407">
        <v>-8.0999999999999996E-3</v>
      </c>
      <c r="G335" s="407">
        <v>2.5999999999999999E-3</v>
      </c>
      <c r="H335" s="409">
        <v>3.7000000000000002E-3</v>
      </c>
      <c r="I335" s="409">
        <v>-5.1999999999999998E-3</v>
      </c>
      <c r="J335" s="407">
        <v>-5.0000000000000001E-4</v>
      </c>
      <c r="K335" s="410">
        <v>-0.95730000000000004</v>
      </c>
      <c r="L335" s="422">
        <v>-0.01</v>
      </c>
      <c r="M335" s="412">
        <v>-1.4460000000000001E-2</v>
      </c>
      <c r="N335" s="413">
        <v>-1.2E-4</v>
      </c>
      <c r="O335" s="415">
        <v>-3.1444000000000001</v>
      </c>
      <c r="P335" s="415">
        <v>-0.63700000000000001</v>
      </c>
      <c r="Q335" s="415">
        <v>-0.32919999999999999</v>
      </c>
      <c r="R335" s="415">
        <v>-0.10680000000000001</v>
      </c>
      <c r="S335" s="415">
        <v>9.2600000000000002E-2</v>
      </c>
      <c r="T335" s="415">
        <v>5.7200000000000001E-2</v>
      </c>
      <c r="U335" s="415">
        <v>-2.9399999999999999E-2</v>
      </c>
      <c r="V335" s="415">
        <v>-2.8500000000000001E-2</v>
      </c>
      <c r="W335" s="415">
        <v>-2.6700000000000002E-2</v>
      </c>
      <c r="X335" s="416">
        <v>-2.5640999999999998</v>
      </c>
      <c r="Y335" s="418">
        <v>-0.14030000000000001</v>
      </c>
      <c r="Z335" s="418">
        <v>-0.13880000000000001</v>
      </c>
      <c r="AA335" s="418">
        <v>-8.6599999999999996E-2</v>
      </c>
      <c r="AB335" s="419">
        <v>-18104.568500000001</v>
      </c>
      <c r="AC335" s="419">
        <v>-3203.5241000000001</v>
      </c>
      <c r="AD335" s="419">
        <v>-2559.9434000000001</v>
      </c>
      <c r="AE335" s="419">
        <v>-493.56950000000001</v>
      </c>
      <c r="AF335" s="420">
        <v>0.93300000000000005</v>
      </c>
      <c r="AG335" s="370"/>
    </row>
    <row r="336" spans="1:33">
      <c r="A336" s="370"/>
      <c r="B336" s="406">
        <f t="shared" si="6"/>
        <v>331</v>
      </c>
      <c r="C336" s="407">
        <v>-8.4099999999999994E-2</v>
      </c>
      <c r="D336" s="407">
        <v>-1E-3</v>
      </c>
      <c r="E336" s="407">
        <v>0.19719999999999999</v>
      </c>
      <c r="F336" s="407">
        <v>-7.7999999999999996E-3</v>
      </c>
      <c r="G336" s="407">
        <v>2.5000000000000001E-3</v>
      </c>
      <c r="H336" s="409">
        <v>3.5999999999999999E-3</v>
      </c>
      <c r="I336" s="409">
        <v>-5.0000000000000001E-3</v>
      </c>
      <c r="J336" s="407">
        <v>-5.0000000000000001E-4</v>
      </c>
      <c r="K336" s="410">
        <v>-0.92820000000000003</v>
      </c>
      <c r="L336" s="411">
        <v>-9.7000000000000003E-3</v>
      </c>
      <c r="M336" s="412">
        <v>-1.461E-2</v>
      </c>
      <c r="N336" s="413">
        <v>-1.2E-4</v>
      </c>
      <c r="O336" s="415">
        <v>-3.0489000000000002</v>
      </c>
      <c r="P336" s="415">
        <v>-0.61770000000000003</v>
      </c>
      <c r="Q336" s="424">
        <v>-0.31919999999999998</v>
      </c>
      <c r="R336" s="415">
        <v>-0.1036</v>
      </c>
      <c r="S336" s="424">
        <v>8.9700000000000002E-2</v>
      </c>
      <c r="T336" s="424">
        <v>5.5399999999999998E-2</v>
      </c>
      <c r="U336" s="424">
        <v>-2.8500000000000001E-2</v>
      </c>
      <c r="V336" s="424">
        <v>-2.7699999999999999E-2</v>
      </c>
      <c r="W336" s="424">
        <v>-2.5899999999999999E-2</v>
      </c>
      <c r="X336" s="416">
        <v>-2.4862000000000002</v>
      </c>
      <c r="Y336" s="418">
        <v>-0.13600000000000001</v>
      </c>
      <c r="Z336" s="417">
        <v>-0.1346</v>
      </c>
      <c r="AA336" s="417">
        <v>-8.4000000000000005E-2</v>
      </c>
      <c r="AB336" s="426">
        <v>-18284.235499999999</v>
      </c>
      <c r="AC336" s="426">
        <v>-3235.3154</v>
      </c>
      <c r="AD336" s="426">
        <v>-2585.3479000000002</v>
      </c>
      <c r="AE336" s="426">
        <v>-498.4676</v>
      </c>
      <c r="AF336" s="427">
        <v>0.93730000000000002</v>
      </c>
      <c r="AG336" s="370"/>
    </row>
    <row r="337" spans="1:33">
      <c r="A337" s="370"/>
      <c r="B337" s="406">
        <f t="shared" si="6"/>
        <v>332</v>
      </c>
      <c r="C337" s="407">
        <v>-8.14E-2</v>
      </c>
      <c r="D337" s="407">
        <v>-1E-3</v>
      </c>
      <c r="E337" s="407">
        <v>0.191</v>
      </c>
      <c r="F337" s="407">
        <v>-7.6E-3</v>
      </c>
      <c r="G337" s="407">
        <v>2.3999999999999998E-3</v>
      </c>
      <c r="H337" s="409">
        <v>3.5000000000000001E-3</v>
      </c>
      <c r="I337" s="409">
        <v>-4.8999999999999998E-3</v>
      </c>
      <c r="J337" s="407">
        <v>-5.0000000000000001E-4</v>
      </c>
      <c r="K337" s="410">
        <v>-0.89890000000000003</v>
      </c>
      <c r="L337" s="411">
        <v>-9.4000000000000004E-3</v>
      </c>
      <c r="M337" s="412">
        <v>-1.4749999999999999E-2</v>
      </c>
      <c r="N337" s="413">
        <v>-1.2E-4</v>
      </c>
      <c r="O337" s="415">
        <v>-2.9523999999999999</v>
      </c>
      <c r="P337" s="415">
        <v>-0.59809999999999997</v>
      </c>
      <c r="Q337" s="415">
        <v>-0.30909999999999999</v>
      </c>
      <c r="R337" s="415">
        <v>-0.1003</v>
      </c>
      <c r="S337" s="415">
        <v>8.6900000000000005E-2</v>
      </c>
      <c r="T337" s="415">
        <v>5.3699999999999998E-2</v>
      </c>
      <c r="U337" s="415">
        <v>-2.76E-2</v>
      </c>
      <c r="V337" s="415">
        <v>-2.6800000000000001E-2</v>
      </c>
      <c r="W337" s="415">
        <v>-2.5000000000000001E-2</v>
      </c>
      <c r="X337" s="416">
        <v>-2.4075000000000002</v>
      </c>
      <c r="Y337" s="418">
        <v>-0.13170000000000001</v>
      </c>
      <c r="Z337" s="417">
        <v>-0.13039999999999999</v>
      </c>
      <c r="AA337" s="417">
        <v>-8.1299999999999997E-2</v>
      </c>
      <c r="AB337" s="426">
        <v>-18458.332900000001</v>
      </c>
      <c r="AC337" s="426">
        <v>-3266.1212</v>
      </c>
      <c r="AD337" s="426">
        <v>-2609.9648000000002</v>
      </c>
      <c r="AE337" s="426">
        <v>-503.21390000000002</v>
      </c>
      <c r="AF337" s="427">
        <v>0.9415</v>
      </c>
      <c r="AG337" s="370"/>
    </row>
    <row r="338" spans="1:33">
      <c r="A338" s="370"/>
      <c r="B338" s="406">
        <f t="shared" si="6"/>
        <v>333</v>
      </c>
      <c r="C338" s="407">
        <v>-7.8700000000000006E-2</v>
      </c>
      <c r="D338" s="407">
        <v>-1E-3</v>
      </c>
      <c r="E338" s="407">
        <v>0.1847</v>
      </c>
      <c r="F338" s="407">
        <v>-7.3000000000000001E-3</v>
      </c>
      <c r="G338" s="407">
        <v>2.3E-3</v>
      </c>
      <c r="H338" s="409">
        <v>3.3999999999999998E-3</v>
      </c>
      <c r="I338" s="409">
        <v>-4.7000000000000002E-3</v>
      </c>
      <c r="J338" s="407">
        <v>-5.0000000000000001E-4</v>
      </c>
      <c r="K338" s="410">
        <v>-0.86919999999999997</v>
      </c>
      <c r="L338" s="411">
        <v>-9.1000000000000004E-3</v>
      </c>
      <c r="M338" s="412">
        <v>-1.4880000000000001E-2</v>
      </c>
      <c r="N338" s="413">
        <v>-1.2E-4</v>
      </c>
      <c r="O338" s="415">
        <v>-2.855</v>
      </c>
      <c r="P338" s="415">
        <v>-0.57840000000000003</v>
      </c>
      <c r="Q338" s="415">
        <v>-0.2989</v>
      </c>
      <c r="R338" s="415">
        <v>-9.7000000000000003E-2</v>
      </c>
      <c r="S338" s="415">
        <v>8.4000000000000005E-2</v>
      </c>
      <c r="T338" s="415">
        <v>5.1900000000000002E-2</v>
      </c>
      <c r="U338" s="415">
        <v>-2.6700000000000002E-2</v>
      </c>
      <c r="V338" s="415">
        <v>-2.5899999999999999E-2</v>
      </c>
      <c r="W338" s="415">
        <v>-2.4199999999999999E-2</v>
      </c>
      <c r="X338" s="416">
        <v>-2.3281000000000001</v>
      </c>
      <c r="Y338" s="418">
        <v>-0.12740000000000001</v>
      </c>
      <c r="Z338" s="418">
        <v>-0.12609999999999999</v>
      </c>
      <c r="AA338" s="418">
        <v>-7.8600000000000003E-2</v>
      </c>
      <c r="AB338" s="419">
        <v>-18626.807700000001</v>
      </c>
      <c r="AC338" s="419">
        <v>-3295.9319999999998</v>
      </c>
      <c r="AD338" s="419">
        <v>-2633.7867999999999</v>
      </c>
      <c r="AE338" s="419">
        <v>-507.80689999999998</v>
      </c>
      <c r="AF338" s="420">
        <v>0.94550000000000001</v>
      </c>
      <c r="AG338" s="370"/>
    </row>
    <row r="339" spans="1:33">
      <c r="A339" s="370"/>
      <c r="B339" s="406">
        <f t="shared" si="6"/>
        <v>334</v>
      </c>
      <c r="C339" s="407">
        <v>-7.5999999999999998E-2</v>
      </c>
      <c r="D339" s="407">
        <v>-8.9999999999999998E-4</v>
      </c>
      <c r="E339" s="407">
        <v>0.17829999999999999</v>
      </c>
      <c r="F339" s="407">
        <v>-7.1000000000000004E-3</v>
      </c>
      <c r="G339" s="407">
        <v>2.2000000000000001E-3</v>
      </c>
      <c r="H339" s="409">
        <v>3.2000000000000002E-3</v>
      </c>
      <c r="I339" s="409">
        <v>-4.5999999999999999E-3</v>
      </c>
      <c r="J339" s="407">
        <v>-4.0000000000000002E-4</v>
      </c>
      <c r="K339" s="410">
        <v>-0.83930000000000005</v>
      </c>
      <c r="L339" s="422">
        <v>-8.8000000000000005E-3</v>
      </c>
      <c r="M339" s="412">
        <v>-1.5010000000000001E-2</v>
      </c>
      <c r="N339" s="413">
        <v>-1.2999999999999999E-4</v>
      </c>
      <c r="O339" s="415">
        <v>-2.7568000000000001</v>
      </c>
      <c r="P339" s="415">
        <v>-0.5585</v>
      </c>
      <c r="Q339" s="415">
        <v>-0.28860000000000002</v>
      </c>
      <c r="R339" s="415">
        <v>-9.3600000000000003E-2</v>
      </c>
      <c r="S339" s="415">
        <v>8.1100000000000005E-2</v>
      </c>
      <c r="T339" s="415">
        <v>5.0099999999999999E-2</v>
      </c>
      <c r="U339" s="415">
        <v>-2.58E-2</v>
      </c>
      <c r="V339" s="415">
        <v>-2.5000000000000001E-2</v>
      </c>
      <c r="W339" s="415">
        <v>-2.3400000000000001E-2</v>
      </c>
      <c r="X339" s="416">
        <v>-2.2481</v>
      </c>
      <c r="Y339" s="418">
        <v>-0.123</v>
      </c>
      <c r="Z339" s="418">
        <v>-0.1217</v>
      </c>
      <c r="AA339" s="418">
        <v>-7.5899999999999995E-2</v>
      </c>
      <c r="AB339" s="419">
        <v>-18789.6086</v>
      </c>
      <c r="AC339" s="419">
        <v>-3324.7388999999998</v>
      </c>
      <c r="AD339" s="419">
        <v>-2656.8063999999999</v>
      </c>
      <c r="AE339" s="419">
        <v>-512.24519999999995</v>
      </c>
      <c r="AF339" s="420">
        <v>0.94940000000000002</v>
      </c>
      <c r="AG339" s="370"/>
    </row>
    <row r="340" spans="1:33">
      <c r="A340" s="370"/>
      <c r="B340" s="406">
        <f t="shared" si="6"/>
        <v>335</v>
      </c>
      <c r="C340" s="407">
        <v>-7.3300000000000004E-2</v>
      </c>
      <c r="D340" s="407">
        <v>-8.9999999999999998E-4</v>
      </c>
      <c r="E340" s="407">
        <v>0.1719</v>
      </c>
      <c r="F340" s="407">
        <v>-6.7999999999999996E-3</v>
      </c>
      <c r="G340" s="407">
        <v>2.2000000000000001E-3</v>
      </c>
      <c r="H340" s="409">
        <v>3.0999999999999999E-3</v>
      </c>
      <c r="I340" s="409">
        <v>-4.4000000000000003E-3</v>
      </c>
      <c r="J340" s="407">
        <v>-4.0000000000000002E-4</v>
      </c>
      <c r="K340" s="410">
        <v>-0.80910000000000004</v>
      </c>
      <c r="L340" s="422">
        <v>-8.3999999999999995E-3</v>
      </c>
      <c r="M340" s="412">
        <v>-1.5140000000000001E-2</v>
      </c>
      <c r="N340" s="413">
        <v>-1.2999999999999999E-4</v>
      </c>
      <c r="O340" s="415">
        <v>-2.6577999999999999</v>
      </c>
      <c r="P340" s="415">
        <v>-0.53839999999999999</v>
      </c>
      <c r="Q340" s="415">
        <v>-0.2782</v>
      </c>
      <c r="R340" s="415">
        <v>-9.0300000000000005E-2</v>
      </c>
      <c r="S340" s="415">
        <v>7.8200000000000006E-2</v>
      </c>
      <c r="T340" s="415">
        <v>4.8300000000000003E-2</v>
      </c>
      <c r="U340" s="415">
        <v>-2.4799999999999999E-2</v>
      </c>
      <c r="V340" s="415">
        <v>-2.41E-2</v>
      </c>
      <c r="W340" s="415">
        <v>-2.2499999999999999E-2</v>
      </c>
      <c r="X340" s="416">
        <v>-2.1673</v>
      </c>
      <c r="Y340" s="418">
        <v>-0.1186</v>
      </c>
      <c r="Z340" s="418">
        <v>-0.1174</v>
      </c>
      <c r="AA340" s="418">
        <v>-7.3200000000000001E-2</v>
      </c>
      <c r="AB340" s="419">
        <v>-18946.686000000002</v>
      </c>
      <c r="AC340" s="419">
        <v>-3352.5331000000001</v>
      </c>
      <c r="AD340" s="419">
        <v>-2679.0167999999999</v>
      </c>
      <c r="AE340" s="419">
        <v>-516.52750000000003</v>
      </c>
      <c r="AF340" s="420">
        <v>0.95320000000000005</v>
      </c>
      <c r="AG340" s="370"/>
    </row>
    <row r="341" spans="1:33">
      <c r="A341" s="370"/>
      <c r="B341" s="406">
        <f t="shared" si="6"/>
        <v>336</v>
      </c>
      <c r="C341" s="407">
        <v>-7.0499999999999993E-2</v>
      </c>
      <c r="D341" s="407">
        <v>-8.9999999999999998E-4</v>
      </c>
      <c r="E341" s="407">
        <v>0.16550000000000001</v>
      </c>
      <c r="F341" s="407">
        <v>-6.4999999999999997E-3</v>
      </c>
      <c r="G341" s="407">
        <v>2.0999999999999999E-3</v>
      </c>
      <c r="H341" s="409">
        <v>3.0000000000000001E-3</v>
      </c>
      <c r="I341" s="409">
        <v>-4.1999999999999997E-3</v>
      </c>
      <c r="J341" s="407">
        <v>-4.0000000000000002E-4</v>
      </c>
      <c r="K341" s="410">
        <v>-0.77869999999999995</v>
      </c>
      <c r="L341" s="422">
        <v>-8.0999999999999996E-3</v>
      </c>
      <c r="M341" s="412">
        <v>-1.5259999999999999E-2</v>
      </c>
      <c r="N341" s="413">
        <v>-1.2999999999999999E-4</v>
      </c>
      <c r="O341" s="415">
        <v>-2.5579000000000001</v>
      </c>
      <c r="P341" s="415">
        <v>-0.51819999999999999</v>
      </c>
      <c r="Q341" s="415">
        <v>-0.26779999999999998</v>
      </c>
      <c r="R341" s="415">
        <v>-8.6900000000000005E-2</v>
      </c>
      <c r="S341" s="415">
        <v>7.5300000000000006E-2</v>
      </c>
      <c r="T341" s="415">
        <v>4.65E-2</v>
      </c>
      <c r="U341" s="415">
        <v>-2.3900000000000001E-2</v>
      </c>
      <c r="V341" s="415">
        <v>-2.3199999999999998E-2</v>
      </c>
      <c r="W341" s="415">
        <v>-2.1700000000000001E-2</v>
      </c>
      <c r="X341" s="416">
        <v>-2.0857999999999999</v>
      </c>
      <c r="Y341" s="418">
        <v>-0.11409999999999999</v>
      </c>
      <c r="Z341" s="418">
        <v>-0.1129</v>
      </c>
      <c r="AA341" s="418">
        <v>-7.0499999999999993E-2</v>
      </c>
      <c r="AB341" s="419">
        <v>-19097.992099999999</v>
      </c>
      <c r="AC341" s="419">
        <v>-3379.3060999999998</v>
      </c>
      <c r="AD341" s="419">
        <v>-2700.4110999999998</v>
      </c>
      <c r="AE341" s="419">
        <v>-520.65239999999994</v>
      </c>
      <c r="AF341" s="420">
        <v>0.95679999999999998</v>
      </c>
      <c r="AG341" s="370"/>
    </row>
    <row r="342" spans="1:33">
      <c r="A342" s="370"/>
      <c r="B342" s="406">
        <f t="shared" si="6"/>
        <v>337</v>
      </c>
      <c r="C342" s="407">
        <v>-6.7799999999999999E-2</v>
      </c>
      <c r="D342" s="407">
        <v>-8.0000000000000004E-4</v>
      </c>
      <c r="E342" s="407">
        <v>0.15890000000000001</v>
      </c>
      <c r="F342" s="407">
        <v>-6.3E-3</v>
      </c>
      <c r="G342" s="407">
        <v>2E-3</v>
      </c>
      <c r="H342" s="409">
        <v>2.8999999999999998E-3</v>
      </c>
      <c r="I342" s="409">
        <v>-4.1000000000000003E-3</v>
      </c>
      <c r="J342" s="407">
        <v>-4.0000000000000002E-4</v>
      </c>
      <c r="K342" s="410">
        <v>-0.74809999999999999</v>
      </c>
      <c r="L342" s="422">
        <v>-7.7999999999999996E-3</v>
      </c>
      <c r="M342" s="412">
        <v>-1.537E-2</v>
      </c>
      <c r="N342" s="413">
        <v>-1.2999999999999999E-4</v>
      </c>
      <c r="O342" s="415">
        <v>-2.4571999999999998</v>
      </c>
      <c r="P342" s="415">
        <v>-0.49780000000000002</v>
      </c>
      <c r="Q342" s="415">
        <v>-0.25719999999999998</v>
      </c>
      <c r="R342" s="415">
        <v>-8.3500000000000005E-2</v>
      </c>
      <c r="S342" s="415">
        <v>7.2300000000000003E-2</v>
      </c>
      <c r="T342" s="415">
        <v>4.4699999999999997E-2</v>
      </c>
      <c r="U342" s="415">
        <v>-2.3E-2</v>
      </c>
      <c r="V342" s="415">
        <v>-2.23E-2</v>
      </c>
      <c r="W342" s="415">
        <v>-2.0799999999999999E-2</v>
      </c>
      <c r="X342" s="416">
        <v>-2.0036999999999998</v>
      </c>
      <c r="Y342" s="418">
        <v>-0.1096</v>
      </c>
      <c r="Z342" s="418">
        <v>-0.1085</v>
      </c>
      <c r="AA342" s="418">
        <v>-6.7699999999999996E-2</v>
      </c>
      <c r="AB342" s="419">
        <v>-19243.4807</v>
      </c>
      <c r="AC342" s="419">
        <v>-3405.0495999999998</v>
      </c>
      <c r="AD342" s="419">
        <v>-2720.9829</v>
      </c>
      <c r="AE342" s="419">
        <v>-524.61869999999999</v>
      </c>
      <c r="AF342" s="420">
        <v>0.96030000000000004</v>
      </c>
      <c r="AG342" s="370"/>
    </row>
    <row r="343" spans="1:33">
      <c r="A343" s="370"/>
      <c r="B343" s="406">
        <f t="shared" si="6"/>
        <v>338</v>
      </c>
      <c r="C343" s="407">
        <v>-6.5000000000000002E-2</v>
      </c>
      <c r="D343" s="407">
        <v>-8.0000000000000004E-4</v>
      </c>
      <c r="E343" s="407">
        <v>0.15240000000000001</v>
      </c>
      <c r="F343" s="407">
        <v>-6.0000000000000001E-3</v>
      </c>
      <c r="G343" s="407">
        <v>1.9E-3</v>
      </c>
      <c r="H343" s="409">
        <v>2.8E-3</v>
      </c>
      <c r="I343" s="409">
        <v>-3.8999999999999998E-3</v>
      </c>
      <c r="J343" s="407">
        <v>-4.0000000000000002E-4</v>
      </c>
      <c r="K343" s="410">
        <v>-0.71719999999999995</v>
      </c>
      <c r="L343" s="422">
        <v>-7.4999999999999997E-3</v>
      </c>
      <c r="M343" s="412">
        <v>-1.5480000000000001E-2</v>
      </c>
      <c r="N343" s="413">
        <v>-1.2999999999999999E-4</v>
      </c>
      <c r="O343" s="415">
        <v>-2.3557999999999999</v>
      </c>
      <c r="P343" s="415">
        <v>-0.4773</v>
      </c>
      <c r="Q343" s="415">
        <v>-0.24660000000000001</v>
      </c>
      <c r="R343" s="415">
        <v>-0.08</v>
      </c>
      <c r="S343" s="415">
        <v>6.93E-2</v>
      </c>
      <c r="T343" s="415">
        <v>4.2799999999999998E-2</v>
      </c>
      <c r="U343" s="415">
        <v>-2.1999999999999999E-2</v>
      </c>
      <c r="V343" s="415">
        <v>-2.1399999999999999E-2</v>
      </c>
      <c r="W343" s="415">
        <v>-0.02</v>
      </c>
      <c r="X343" s="416">
        <v>-1.9211</v>
      </c>
      <c r="Y343" s="418">
        <v>-0.1051</v>
      </c>
      <c r="Z343" s="418">
        <v>-0.104</v>
      </c>
      <c r="AA343" s="418">
        <v>-6.4899999999999999E-2</v>
      </c>
      <c r="AB343" s="419">
        <v>-19383.107599999999</v>
      </c>
      <c r="AC343" s="419">
        <v>-3429.7559999999999</v>
      </c>
      <c r="AD343" s="419">
        <v>-2740.7258000000002</v>
      </c>
      <c r="AE343" s="419">
        <v>-528.42529999999999</v>
      </c>
      <c r="AF343" s="420">
        <v>0.96360000000000001</v>
      </c>
      <c r="AG343" s="370"/>
    </row>
    <row r="344" spans="1:33">
      <c r="A344" s="370"/>
      <c r="B344" s="406">
        <f t="shared" si="6"/>
        <v>339</v>
      </c>
      <c r="C344" s="407">
        <v>-6.2100000000000002E-2</v>
      </c>
      <c r="D344" s="407">
        <v>-8.0000000000000004E-4</v>
      </c>
      <c r="E344" s="407">
        <v>0.14580000000000001</v>
      </c>
      <c r="F344" s="407">
        <v>-5.7999999999999996E-3</v>
      </c>
      <c r="G344" s="407">
        <v>1.8E-3</v>
      </c>
      <c r="H344" s="409">
        <v>2.7000000000000001E-3</v>
      </c>
      <c r="I344" s="409">
        <v>-3.7000000000000002E-3</v>
      </c>
      <c r="J344" s="407">
        <v>-4.0000000000000002E-4</v>
      </c>
      <c r="K344" s="410">
        <v>-0.68610000000000004</v>
      </c>
      <c r="L344" s="422">
        <v>-7.1999999999999998E-3</v>
      </c>
      <c r="M344" s="412">
        <v>-1.559E-2</v>
      </c>
      <c r="N344" s="413">
        <v>-1.2999999999999999E-4</v>
      </c>
      <c r="O344" s="415">
        <v>-2.2536999999999998</v>
      </c>
      <c r="P344" s="415">
        <v>-0.45660000000000001</v>
      </c>
      <c r="Q344" s="415">
        <v>-0.2359</v>
      </c>
      <c r="R344" s="415">
        <v>-7.6600000000000001E-2</v>
      </c>
      <c r="S344" s="415">
        <v>6.6299999999999998E-2</v>
      </c>
      <c r="T344" s="415">
        <v>4.1000000000000002E-2</v>
      </c>
      <c r="U344" s="415">
        <v>-2.1100000000000001E-2</v>
      </c>
      <c r="V344" s="415">
        <v>-2.0500000000000001E-2</v>
      </c>
      <c r="W344" s="415">
        <v>-1.9099999999999999E-2</v>
      </c>
      <c r="X344" s="416">
        <v>-1.8378000000000001</v>
      </c>
      <c r="Y344" s="418">
        <v>-0.10059999999999999</v>
      </c>
      <c r="Z344" s="418">
        <v>-9.9500000000000005E-2</v>
      </c>
      <c r="AA344" s="418">
        <v>-6.2100000000000002E-2</v>
      </c>
      <c r="AB344" s="419">
        <v>-19516.8302</v>
      </c>
      <c r="AC344" s="419">
        <v>-3453.4176000000002</v>
      </c>
      <c r="AD344" s="419">
        <v>-2759.6338999999998</v>
      </c>
      <c r="AE344" s="419">
        <v>-532.07079999999996</v>
      </c>
      <c r="AF344" s="420">
        <v>0.96679999999999999</v>
      </c>
      <c r="AG344" s="370"/>
    </row>
    <row r="345" spans="1:33">
      <c r="A345" s="370"/>
      <c r="B345" s="406">
        <f t="shared" si="6"/>
        <v>340</v>
      </c>
      <c r="C345" s="407">
        <v>-5.9299999999999999E-2</v>
      </c>
      <c r="D345" s="407">
        <v>-6.9999999999999999E-4</v>
      </c>
      <c r="E345" s="407">
        <v>0.1391</v>
      </c>
      <c r="F345" s="407">
        <v>-5.4999999999999997E-3</v>
      </c>
      <c r="G345" s="407">
        <v>1.6999999999999999E-3</v>
      </c>
      <c r="H345" s="409">
        <v>2.5000000000000001E-3</v>
      </c>
      <c r="I345" s="409">
        <v>-3.5999999999999999E-3</v>
      </c>
      <c r="J345" s="407">
        <v>-2.9999999999999997E-4</v>
      </c>
      <c r="K345" s="410">
        <v>-0.65480000000000005</v>
      </c>
      <c r="L345" s="422">
        <v>-6.7999999999999996E-3</v>
      </c>
      <c r="M345" s="412">
        <v>-1.5689999999999999E-2</v>
      </c>
      <c r="N345" s="413">
        <v>-1.2999999999999999E-4</v>
      </c>
      <c r="O345" s="415">
        <v>-2.1509</v>
      </c>
      <c r="P345" s="415">
        <v>-0.43569999999999998</v>
      </c>
      <c r="Q345" s="415">
        <v>-0.22520000000000001</v>
      </c>
      <c r="R345" s="415">
        <v>-7.3099999999999998E-2</v>
      </c>
      <c r="S345" s="415">
        <v>6.3299999999999995E-2</v>
      </c>
      <c r="T345" s="415">
        <v>3.9100000000000003E-2</v>
      </c>
      <c r="U345" s="415">
        <v>-2.01E-2</v>
      </c>
      <c r="V345" s="415">
        <v>-1.95E-2</v>
      </c>
      <c r="W345" s="415">
        <v>-1.8200000000000001E-2</v>
      </c>
      <c r="X345" s="416">
        <v>-1.7539</v>
      </c>
      <c r="Y345" s="418">
        <v>-9.6000000000000002E-2</v>
      </c>
      <c r="Z345" s="418">
        <v>-9.5000000000000001E-2</v>
      </c>
      <c r="AA345" s="418">
        <v>-5.9299999999999999E-2</v>
      </c>
      <c r="AB345" s="419">
        <v>-19644.607800000002</v>
      </c>
      <c r="AC345" s="419">
        <v>-3476.0273000000002</v>
      </c>
      <c r="AD345" s="419">
        <v>-2777.7013000000002</v>
      </c>
      <c r="AE345" s="419">
        <v>-535.55430000000001</v>
      </c>
      <c r="AF345" s="420">
        <v>0.9698</v>
      </c>
      <c r="AG345" s="370"/>
    </row>
    <row r="346" spans="1:33">
      <c r="A346" s="370"/>
      <c r="B346" s="406">
        <f t="shared" si="6"/>
        <v>341</v>
      </c>
      <c r="C346" s="407">
        <v>-5.6500000000000002E-2</v>
      </c>
      <c r="D346" s="407">
        <v>-6.9999999999999999E-4</v>
      </c>
      <c r="E346" s="407">
        <v>0.13239999999999999</v>
      </c>
      <c r="F346" s="407">
        <v>-5.1999999999999998E-3</v>
      </c>
      <c r="G346" s="407">
        <v>1.6999999999999999E-3</v>
      </c>
      <c r="H346" s="409">
        <v>2.3999999999999998E-3</v>
      </c>
      <c r="I346" s="409">
        <v>-3.3999999999999998E-3</v>
      </c>
      <c r="J346" s="407">
        <v>-2.9999999999999997E-4</v>
      </c>
      <c r="K346" s="410">
        <v>-0.62329999999999997</v>
      </c>
      <c r="L346" s="422">
        <v>-6.4999999999999997E-3</v>
      </c>
      <c r="M346" s="412">
        <v>-1.5789999999999998E-2</v>
      </c>
      <c r="N346" s="413">
        <v>-1.2999999999999999E-4</v>
      </c>
      <c r="O346" s="415">
        <v>-2.0474000000000001</v>
      </c>
      <c r="P346" s="415">
        <v>-0.4148</v>
      </c>
      <c r="Q346" s="415">
        <v>-0.21429999999999999</v>
      </c>
      <c r="R346" s="415">
        <v>-6.9500000000000006E-2</v>
      </c>
      <c r="S346" s="415">
        <v>6.0299999999999999E-2</v>
      </c>
      <c r="T346" s="415">
        <v>3.7199999999999997E-2</v>
      </c>
      <c r="U346" s="415">
        <v>-1.9099999999999999E-2</v>
      </c>
      <c r="V346" s="415">
        <v>-1.8599999999999998E-2</v>
      </c>
      <c r="W346" s="415">
        <v>-1.7399999999999999E-2</v>
      </c>
      <c r="X346" s="416">
        <v>-1.6696</v>
      </c>
      <c r="Y346" s="418">
        <v>-9.1399999999999995E-2</v>
      </c>
      <c r="Z346" s="418">
        <v>-9.0399999999999994E-2</v>
      </c>
      <c r="AA346" s="418">
        <v>-5.6399999999999999E-2</v>
      </c>
      <c r="AB346" s="419">
        <v>-19766.4015</v>
      </c>
      <c r="AC346" s="419">
        <v>-3497.5781999999999</v>
      </c>
      <c r="AD346" s="419">
        <v>-2794.9227000000001</v>
      </c>
      <c r="AE346" s="419">
        <v>-538.87469999999996</v>
      </c>
      <c r="AF346" s="420">
        <v>0.9728</v>
      </c>
      <c r="AG346" s="370"/>
    </row>
    <row r="347" spans="1:33">
      <c r="A347" s="370"/>
      <c r="B347" s="406">
        <f t="shared" si="6"/>
        <v>342</v>
      </c>
      <c r="C347" s="407">
        <v>-5.3600000000000002E-2</v>
      </c>
      <c r="D347" s="407">
        <v>-5.9999999999999995E-4</v>
      </c>
      <c r="E347" s="407">
        <v>0.12570000000000001</v>
      </c>
      <c r="F347" s="407">
        <v>-5.0000000000000001E-3</v>
      </c>
      <c r="G347" s="407">
        <v>1.6000000000000001E-3</v>
      </c>
      <c r="H347" s="409">
        <v>2.3E-3</v>
      </c>
      <c r="I347" s="409">
        <v>-3.2000000000000002E-3</v>
      </c>
      <c r="J347" s="407">
        <v>-2.9999999999999997E-4</v>
      </c>
      <c r="K347" s="410">
        <v>-0.59160000000000001</v>
      </c>
      <c r="L347" s="422">
        <v>-6.1999999999999998E-3</v>
      </c>
      <c r="M347" s="412">
        <v>-1.5879999999999998E-2</v>
      </c>
      <c r="N347" s="413">
        <v>-1.2999999999999999E-4</v>
      </c>
      <c r="O347" s="415">
        <v>-1.9433</v>
      </c>
      <c r="P347" s="415">
        <v>-0.39369999999999999</v>
      </c>
      <c r="Q347" s="415">
        <v>-0.2034</v>
      </c>
      <c r="R347" s="415">
        <v>-6.6000000000000003E-2</v>
      </c>
      <c r="S347" s="415">
        <v>5.7200000000000001E-2</v>
      </c>
      <c r="T347" s="415">
        <v>3.5299999999999998E-2</v>
      </c>
      <c r="U347" s="415">
        <v>-1.8200000000000001E-2</v>
      </c>
      <c r="V347" s="415">
        <v>-1.7600000000000001E-2</v>
      </c>
      <c r="W347" s="415">
        <v>-1.6500000000000001E-2</v>
      </c>
      <c r="X347" s="416">
        <v>-1.5847</v>
      </c>
      <c r="Y347" s="418">
        <v>-8.6699999999999999E-2</v>
      </c>
      <c r="Z347" s="418">
        <v>-8.5800000000000001E-2</v>
      </c>
      <c r="AA347" s="418">
        <v>-5.3499999999999999E-2</v>
      </c>
      <c r="AB347" s="419">
        <v>-19882.1741</v>
      </c>
      <c r="AC347" s="419">
        <v>-3518.0636</v>
      </c>
      <c r="AD347" s="419">
        <v>-2811.2926000000002</v>
      </c>
      <c r="AE347" s="419">
        <v>-542.03089999999997</v>
      </c>
      <c r="AF347" s="420">
        <v>0.97550000000000003</v>
      </c>
      <c r="AG347" s="370"/>
    </row>
    <row r="348" spans="1:33">
      <c r="A348" s="370"/>
      <c r="B348" s="406">
        <f t="shared" si="6"/>
        <v>343</v>
      </c>
      <c r="C348" s="407">
        <v>-5.0700000000000002E-2</v>
      </c>
      <c r="D348" s="407">
        <v>-5.9999999999999995E-4</v>
      </c>
      <c r="E348" s="407">
        <v>0.11890000000000001</v>
      </c>
      <c r="F348" s="407">
        <v>-4.7000000000000002E-3</v>
      </c>
      <c r="G348" s="407">
        <v>1.5E-3</v>
      </c>
      <c r="H348" s="409">
        <v>2.2000000000000001E-3</v>
      </c>
      <c r="I348" s="409">
        <v>-3.0000000000000001E-3</v>
      </c>
      <c r="J348" s="407">
        <v>-2.9999999999999997E-4</v>
      </c>
      <c r="K348" s="410">
        <v>-0.55979999999999996</v>
      </c>
      <c r="L348" s="422">
        <v>-5.7999999999999996E-3</v>
      </c>
      <c r="M348" s="412">
        <v>-1.5970000000000002E-2</v>
      </c>
      <c r="N348" s="413">
        <v>-1.2999999999999999E-4</v>
      </c>
      <c r="O348" s="415">
        <v>-1.8387</v>
      </c>
      <c r="P348" s="415">
        <v>-0.3725</v>
      </c>
      <c r="Q348" s="415">
        <v>-0.1925</v>
      </c>
      <c r="R348" s="415">
        <v>-6.25E-2</v>
      </c>
      <c r="S348" s="415">
        <v>5.4100000000000002E-2</v>
      </c>
      <c r="T348" s="415">
        <v>3.3399999999999999E-2</v>
      </c>
      <c r="U348" s="415">
        <v>-1.72E-2</v>
      </c>
      <c r="V348" s="415">
        <v>-1.67E-2</v>
      </c>
      <c r="W348" s="415">
        <v>-1.5599999999999999E-2</v>
      </c>
      <c r="X348" s="416">
        <v>-1.4993000000000001</v>
      </c>
      <c r="Y348" s="418">
        <v>-8.2000000000000003E-2</v>
      </c>
      <c r="Z348" s="418">
        <v>-8.1199999999999994E-2</v>
      </c>
      <c r="AA348" s="418">
        <v>-5.0599999999999999E-2</v>
      </c>
      <c r="AB348" s="419">
        <v>-19991.8904</v>
      </c>
      <c r="AC348" s="419">
        <v>-3537.4774000000002</v>
      </c>
      <c r="AD348" s="419">
        <v>-2826.8063000000002</v>
      </c>
      <c r="AE348" s="419">
        <v>-545.02200000000005</v>
      </c>
      <c r="AF348" s="420">
        <v>0.97819999999999996</v>
      </c>
      <c r="AG348" s="370"/>
    </row>
    <row r="349" spans="1:33">
      <c r="A349" s="370"/>
      <c r="B349" s="406">
        <f t="shared" si="6"/>
        <v>344</v>
      </c>
      <c r="C349" s="407">
        <v>-4.7800000000000002E-2</v>
      </c>
      <c r="D349" s="407">
        <v>-5.9999999999999995E-4</v>
      </c>
      <c r="E349" s="407">
        <v>0.11210000000000001</v>
      </c>
      <c r="F349" s="407">
        <v>-4.4000000000000003E-3</v>
      </c>
      <c r="G349" s="407">
        <v>1.4E-3</v>
      </c>
      <c r="H349" s="409">
        <v>2E-3</v>
      </c>
      <c r="I349" s="409">
        <v>-2.8999999999999998E-3</v>
      </c>
      <c r="J349" s="407">
        <v>-2.9999999999999997E-4</v>
      </c>
      <c r="K349" s="410">
        <v>-0.52769999999999995</v>
      </c>
      <c r="L349" s="422">
        <v>-5.4999999999999997E-3</v>
      </c>
      <c r="M349" s="412">
        <v>-1.6049999999999998E-2</v>
      </c>
      <c r="N349" s="413">
        <v>-1.2999999999999999E-4</v>
      </c>
      <c r="O349" s="415">
        <v>-1.7334000000000001</v>
      </c>
      <c r="P349" s="415">
        <v>-0.35120000000000001</v>
      </c>
      <c r="Q349" s="415">
        <v>-0.18149999999999999</v>
      </c>
      <c r="R349" s="415">
        <v>-5.8900000000000001E-2</v>
      </c>
      <c r="S349" s="415">
        <v>5.0999999999999997E-2</v>
      </c>
      <c r="T349" s="415">
        <v>3.15E-2</v>
      </c>
      <c r="U349" s="415">
        <v>-1.6199999999999999E-2</v>
      </c>
      <c r="V349" s="415">
        <v>-1.5699999999999999E-2</v>
      </c>
      <c r="W349" s="415">
        <v>-1.47E-2</v>
      </c>
      <c r="X349" s="416">
        <v>-1.4135</v>
      </c>
      <c r="Y349" s="418">
        <v>-7.7299999999999994E-2</v>
      </c>
      <c r="Z349" s="418">
        <v>-7.6499999999999999E-2</v>
      </c>
      <c r="AA349" s="418">
        <v>-4.7800000000000002E-2</v>
      </c>
      <c r="AB349" s="419">
        <v>-20095.517</v>
      </c>
      <c r="AC349" s="419">
        <v>-3555.8137000000002</v>
      </c>
      <c r="AD349" s="419">
        <v>-2841.4587999999999</v>
      </c>
      <c r="AE349" s="419">
        <v>-547.84709999999995</v>
      </c>
      <c r="AF349" s="420">
        <v>0.98060000000000003</v>
      </c>
      <c r="AG349" s="370"/>
    </row>
    <row r="350" spans="1:33">
      <c r="A350" s="370"/>
      <c r="B350" s="406">
        <f t="shared" si="6"/>
        <v>345</v>
      </c>
      <c r="C350" s="407">
        <v>-4.4900000000000002E-2</v>
      </c>
      <c r="D350" s="407">
        <v>-5.0000000000000001E-4</v>
      </c>
      <c r="E350" s="407">
        <v>0.1053</v>
      </c>
      <c r="F350" s="407">
        <v>-4.1999999999999997E-3</v>
      </c>
      <c r="G350" s="407">
        <v>1.2999999999999999E-3</v>
      </c>
      <c r="H350" s="409">
        <v>1.9E-3</v>
      </c>
      <c r="I350" s="409">
        <v>-2.7000000000000001E-3</v>
      </c>
      <c r="J350" s="407">
        <v>-2.9999999999999997E-4</v>
      </c>
      <c r="K350" s="410">
        <v>-0.4955</v>
      </c>
      <c r="L350" s="422">
        <v>-5.1999999999999998E-3</v>
      </c>
      <c r="M350" s="412">
        <v>-1.6129999999999999E-2</v>
      </c>
      <c r="N350" s="413">
        <v>-1.3999999999999999E-4</v>
      </c>
      <c r="O350" s="415">
        <v>-1.6276999999999999</v>
      </c>
      <c r="P350" s="415">
        <v>-0.32969999999999999</v>
      </c>
      <c r="Q350" s="415">
        <v>-0.1704</v>
      </c>
      <c r="R350" s="415">
        <v>-5.5300000000000002E-2</v>
      </c>
      <c r="S350" s="415">
        <v>4.7899999999999998E-2</v>
      </c>
      <c r="T350" s="415">
        <v>2.9600000000000001E-2</v>
      </c>
      <c r="U350" s="415">
        <v>-1.52E-2</v>
      </c>
      <c r="V350" s="415">
        <v>-1.4800000000000001E-2</v>
      </c>
      <c r="W350" s="415">
        <v>-1.38E-2</v>
      </c>
      <c r="X350" s="416">
        <v>-1.3272999999999999</v>
      </c>
      <c r="Y350" s="418">
        <v>-7.2599999999999998E-2</v>
      </c>
      <c r="Z350" s="418">
        <v>-7.1900000000000006E-2</v>
      </c>
      <c r="AA350" s="418">
        <v>-4.48E-2</v>
      </c>
      <c r="AB350" s="419">
        <v>-20193.022300000001</v>
      </c>
      <c r="AC350" s="419">
        <v>-3573.0668000000001</v>
      </c>
      <c r="AD350" s="419">
        <v>-2855.2458000000001</v>
      </c>
      <c r="AE350" s="419">
        <v>-550.50530000000003</v>
      </c>
      <c r="AF350" s="420">
        <v>0.98299999999999998</v>
      </c>
      <c r="AG350" s="370"/>
    </row>
    <row r="351" spans="1:33">
      <c r="A351" s="370"/>
      <c r="B351" s="406">
        <f t="shared" si="6"/>
        <v>346</v>
      </c>
      <c r="C351" s="407">
        <v>-4.19E-2</v>
      </c>
      <c r="D351" s="407">
        <v>-5.0000000000000001E-4</v>
      </c>
      <c r="E351" s="407">
        <v>9.8400000000000001E-2</v>
      </c>
      <c r="F351" s="407">
        <v>-3.8999999999999998E-3</v>
      </c>
      <c r="G351" s="407">
        <v>1.1999999999999999E-3</v>
      </c>
      <c r="H351" s="409">
        <v>1.8E-3</v>
      </c>
      <c r="I351" s="409">
        <v>-2.5000000000000001E-3</v>
      </c>
      <c r="J351" s="407">
        <v>-2.0000000000000001E-4</v>
      </c>
      <c r="K351" s="410">
        <v>-0.4632</v>
      </c>
      <c r="L351" s="422">
        <v>-4.7999999999999996E-3</v>
      </c>
      <c r="M351" s="412">
        <v>-1.6199999999999999E-2</v>
      </c>
      <c r="N351" s="413">
        <v>-1.3999999999999999E-4</v>
      </c>
      <c r="O351" s="415">
        <v>-1.5214000000000001</v>
      </c>
      <c r="P351" s="415">
        <v>-0.30819999999999997</v>
      </c>
      <c r="Q351" s="415">
        <v>-0.1593</v>
      </c>
      <c r="R351" s="415">
        <v>-5.1700000000000003E-2</v>
      </c>
      <c r="S351" s="415">
        <v>4.48E-2</v>
      </c>
      <c r="T351" s="415">
        <v>2.7699999999999999E-2</v>
      </c>
      <c r="U351" s="415">
        <v>-1.4200000000000001E-2</v>
      </c>
      <c r="V351" s="415">
        <v>-1.38E-2</v>
      </c>
      <c r="W351" s="415">
        <v>-1.29E-2</v>
      </c>
      <c r="X351" s="416">
        <v>-1.2405999999999999</v>
      </c>
      <c r="Y351" s="418">
        <v>-6.7900000000000002E-2</v>
      </c>
      <c r="Z351" s="418">
        <v>-6.7199999999999996E-2</v>
      </c>
      <c r="AA351" s="418">
        <v>-4.19E-2</v>
      </c>
      <c r="AB351" s="419">
        <v>-20284.3766</v>
      </c>
      <c r="AC351" s="419">
        <v>-3589.2316000000001</v>
      </c>
      <c r="AD351" s="419">
        <v>-2868.1631000000002</v>
      </c>
      <c r="AE351" s="419">
        <v>-552.99580000000003</v>
      </c>
      <c r="AF351" s="420">
        <v>0.98509999999999998</v>
      </c>
      <c r="AG351" s="370"/>
    </row>
    <row r="352" spans="1:33">
      <c r="A352" s="370"/>
      <c r="B352" s="406">
        <f t="shared" si="6"/>
        <v>347</v>
      </c>
      <c r="C352" s="407">
        <v>-3.9E-2</v>
      </c>
      <c r="D352" s="407">
        <v>-5.0000000000000001E-4</v>
      </c>
      <c r="E352" s="407">
        <v>9.1499999999999998E-2</v>
      </c>
      <c r="F352" s="407">
        <v>-3.5999999999999999E-3</v>
      </c>
      <c r="G352" s="407">
        <v>1.1000000000000001E-3</v>
      </c>
      <c r="H352" s="409">
        <v>1.6999999999999999E-3</v>
      </c>
      <c r="I352" s="409">
        <v>-2.3E-3</v>
      </c>
      <c r="J352" s="407">
        <v>-2.0000000000000001E-4</v>
      </c>
      <c r="K352" s="410">
        <v>-0.43070000000000003</v>
      </c>
      <c r="L352" s="422">
        <v>-4.4999999999999997E-3</v>
      </c>
      <c r="M352" s="412">
        <v>-1.627E-2</v>
      </c>
      <c r="N352" s="413">
        <v>-1.3999999999999999E-4</v>
      </c>
      <c r="O352" s="415">
        <v>-1.4147000000000001</v>
      </c>
      <c r="P352" s="415">
        <v>-0.28660000000000002</v>
      </c>
      <c r="Q352" s="415">
        <v>-0.14810000000000001</v>
      </c>
      <c r="R352" s="415">
        <v>-4.8099999999999997E-2</v>
      </c>
      <c r="S352" s="415">
        <v>4.1599999999999998E-2</v>
      </c>
      <c r="T352" s="415">
        <v>2.5700000000000001E-2</v>
      </c>
      <c r="U352" s="415">
        <v>-1.32E-2</v>
      </c>
      <c r="V352" s="415">
        <v>-1.2800000000000001E-2</v>
      </c>
      <c r="W352" s="415">
        <v>-1.2E-2</v>
      </c>
      <c r="X352" s="416">
        <v>-1.1536</v>
      </c>
      <c r="Y352" s="418">
        <v>-6.3100000000000003E-2</v>
      </c>
      <c r="Z352" s="418">
        <v>-6.25E-2</v>
      </c>
      <c r="AA352" s="418">
        <v>-3.9E-2</v>
      </c>
      <c r="AB352" s="419">
        <v>-20369.552100000001</v>
      </c>
      <c r="AC352" s="419">
        <v>-3604.3029999999999</v>
      </c>
      <c r="AD352" s="419">
        <v>-2880.2067000000002</v>
      </c>
      <c r="AE352" s="419">
        <v>-555.31790000000001</v>
      </c>
      <c r="AF352" s="420">
        <v>0.98719999999999997</v>
      </c>
      <c r="AG352" s="370"/>
    </row>
    <row r="353" spans="1:33">
      <c r="A353" s="370"/>
      <c r="B353" s="406">
        <f t="shared" si="6"/>
        <v>348</v>
      </c>
      <c r="C353" s="407">
        <v>-3.61E-2</v>
      </c>
      <c r="D353" s="407">
        <v>-4.0000000000000002E-4</v>
      </c>
      <c r="E353" s="407">
        <v>8.4599999999999995E-2</v>
      </c>
      <c r="F353" s="407">
        <v>-3.3E-3</v>
      </c>
      <c r="G353" s="407">
        <v>1.1000000000000001E-3</v>
      </c>
      <c r="H353" s="409">
        <v>1.5E-3</v>
      </c>
      <c r="I353" s="409">
        <v>-2.2000000000000001E-3</v>
      </c>
      <c r="J353" s="407">
        <v>-2.0000000000000001E-4</v>
      </c>
      <c r="K353" s="410">
        <v>-0.39810000000000001</v>
      </c>
      <c r="L353" s="422">
        <v>-4.1999999999999997E-3</v>
      </c>
      <c r="M353" s="412">
        <v>-1.634E-2</v>
      </c>
      <c r="N353" s="413">
        <v>-1.3999999999999999E-4</v>
      </c>
      <c r="O353" s="415">
        <v>-1.3075000000000001</v>
      </c>
      <c r="P353" s="415">
        <v>-0.26490000000000002</v>
      </c>
      <c r="Q353" s="415">
        <v>-0.13689999999999999</v>
      </c>
      <c r="R353" s="415">
        <v>-4.4400000000000002E-2</v>
      </c>
      <c r="S353" s="415">
        <v>3.85E-2</v>
      </c>
      <c r="T353" s="415">
        <v>2.3800000000000002E-2</v>
      </c>
      <c r="U353" s="415">
        <v>-1.2200000000000001E-2</v>
      </c>
      <c r="V353" s="415">
        <v>-1.1900000000000001E-2</v>
      </c>
      <c r="W353" s="415">
        <v>-1.11E-2</v>
      </c>
      <c r="X353" s="416">
        <v>-1.0662</v>
      </c>
      <c r="Y353" s="418">
        <v>-5.8299999999999998E-2</v>
      </c>
      <c r="Z353" s="418">
        <v>-5.7700000000000001E-2</v>
      </c>
      <c r="AA353" s="418">
        <v>-3.5999999999999997E-2</v>
      </c>
      <c r="AB353" s="419">
        <v>-20448.522799999999</v>
      </c>
      <c r="AC353" s="419">
        <v>-3618.2764999999999</v>
      </c>
      <c r="AD353" s="419">
        <v>-2891.373</v>
      </c>
      <c r="AE353" s="419">
        <v>-557.47080000000005</v>
      </c>
      <c r="AF353" s="420">
        <v>0.98909999999999998</v>
      </c>
      <c r="AG353" s="370"/>
    </row>
    <row r="354" spans="1:33">
      <c r="A354" s="370"/>
      <c r="B354" s="406">
        <f t="shared" si="6"/>
        <v>349</v>
      </c>
      <c r="C354" s="407">
        <v>-3.3099999999999997E-2</v>
      </c>
      <c r="D354" s="407">
        <v>-4.0000000000000002E-4</v>
      </c>
      <c r="E354" s="407">
        <v>7.7600000000000002E-2</v>
      </c>
      <c r="F354" s="407">
        <v>-3.0999999999999999E-3</v>
      </c>
      <c r="G354" s="407">
        <v>1E-3</v>
      </c>
      <c r="H354" s="409">
        <v>1.4E-3</v>
      </c>
      <c r="I354" s="409">
        <v>-2E-3</v>
      </c>
      <c r="J354" s="407">
        <v>-2.0000000000000001E-4</v>
      </c>
      <c r="K354" s="410">
        <v>-0.36530000000000001</v>
      </c>
      <c r="L354" s="422">
        <v>-3.8E-3</v>
      </c>
      <c r="M354" s="412">
        <v>-1.6389999999999998E-2</v>
      </c>
      <c r="N354" s="413">
        <v>-1.3999999999999999E-4</v>
      </c>
      <c r="O354" s="415">
        <v>-1.2</v>
      </c>
      <c r="P354" s="415">
        <v>-0.24310000000000001</v>
      </c>
      <c r="Q354" s="415">
        <v>-0.12559999999999999</v>
      </c>
      <c r="R354" s="415">
        <v>-4.0800000000000003E-2</v>
      </c>
      <c r="S354" s="415">
        <v>3.5299999999999998E-2</v>
      </c>
      <c r="T354" s="415">
        <v>2.18E-2</v>
      </c>
      <c r="U354" s="415">
        <v>-1.12E-2</v>
      </c>
      <c r="V354" s="415">
        <v>-1.09E-2</v>
      </c>
      <c r="W354" s="415">
        <v>-1.0200000000000001E-2</v>
      </c>
      <c r="X354" s="416">
        <v>-0.97850000000000004</v>
      </c>
      <c r="Y354" s="418">
        <v>-5.3499999999999999E-2</v>
      </c>
      <c r="Z354" s="418">
        <v>-5.2999999999999999E-2</v>
      </c>
      <c r="AA354" s="418">
        <v>-3.3099999999999997E-2</v>
      </c>
      <c r="AB354" s="419">
        <v>-20521.2647</v>
      </c>
      <c r="AC354" s="419">
        <v>-3631.1478999999999</v>
      </c>
      <c r="AD354" s="419">
        <v>-2901.6585</v>
      </c>
      <c r="AE354" s="419">
        <v>-559.45389999999998</v>
      </c>
      <c r="AF354" s="420">
        <v>0.99080000000000001</v>
      </c>
      <c r="AG354" s="370"/>
    </row>
    <row r="355" spans="1:33">
      <c r="A355" s="370"/>
      <c r="B355" s="406">
        <f t="shared" si="6"/>
        <v>350</v>
      </c>
      <c r="C355" s="407">
        <v>-3.0099999999999998E-2</v>
      </c>
      <c r="D355" s="407">
        <v>-4.0000000000000002E-4</v>
      </c>
      <c r="E355" s="407">
        <v>7.0599999999999996E-2</v>
      </c>
      <c r="F355" s="407">
        <v>-2.8E-3</v>
      </c>
      <c r="G355" s="407">
        <v>8.9999999999999998E-4</v>
      </c>
      <c r="H355" s="409">
        <v>1.2999999999999999E-3</v>
      </c>
      <c r="I355" s="409">
        <v>-1.8E-3</v>
      </c>
      <c r="J355" s="407">
        <v>-2.0000000000000001E-4</v>
      </c>
      <c r="K355" s="410">
        <v>-0.33250000000000002</v>
      </c>
      <c r="L355" s="422">
        <v>-3.5000000000000001E-3</v>
      </c>
      <c r="M355" s="412">
        <v>-1.6449999999999999E-2</v>
      </c>
      <c r="N355" s="413">
        <v>-1.3999999999999999E-4</v>
      </c>
      <c r="O355" s="415">
        <v>-1.0920000000000001</v>
      </c>
      <c r="P355" s="415">
        <v>-0.22120000000000001</v>
      </c>
      <c r="Q355" s="415">
        <v>-0.1143</v>
      </c>
      <c r="R355" s="415">
        <v>-3.7100000000000001E-2</v>
      </c>
      <c r="S355" s="415">
        <v>3.2099999999999997E-2</v>
      </c>
      <c r="T355" s="415">
        <v>1.9900000000000001E-2</v>
      </c>
      <c r="U355" s="415">
        <v>-1.0200000000000001E-2</v>
      </c>
      <c r="V355" s="415">
        <v>-9.9000000000000008E-3</v>
      </c>
      <c r="W355" s="415">
        <v>-9.2999999999999992E-3</v>
      </c>
      <c r="X355" s="416">
        <v>-0.89049999999999996</v>
      </c>
      <c r="Y355" s="418">
        <v>-4.87E-2</v>
      </c>
      <c r="Z355" s="418">
        <v>-4.82E-2</v>
      </c>
      <c r="AA355" s="418">
        <v>-3.0099999999999998E-2</v>
      </c>
      <c r="AB355" s="419">
        <v>-20587.755700000002</v>
      </c>
      <c r="AC355" s="419">
        <v>-3642.9132</v>
      </c>
      <c r="AD355" s="419">
        <v>-2911.0601999999999</v>
      </c>
      <c r="AE355" s="419">
        <v>-561.26660000000004</v>
      </c>
      <c r="AF355" s="420">
        <v>0.99239999999999995</v>
      </c>
      <c r="AG355" s="370"/>
    </row>
    <row r="356" spans="1:33">
      <c r="A356" s="370"/>
      <c r="B356" s="406">
        <f t="shared" si="6"/>
        <v>351</v>
      </c>
      <c r="C356" s="407">
        <v>-2.7099999999999999E-2</v>
      </c>
      <c r="D356" s="407">
        <v>-2.9999999999999997E-4</v>
      </c>
      <c r="E356" s="407">
        <v>6.3600000000000004E-2</v>
      </c>
      <c r="F356" s="407">
        <v>-2.5000000000000001E-3</v>
      </c>
      <c r="G356" s="407">
        <v>8.0000000000000004E-4</v>
      </c>
      <c r="H356" s="409">
        <v>1.1999999999999999E-3</v>
      </c>
      <c r="I356" s="409">
        <v>-1.6000000000000001E-3</v>
      </c>
      <c r="J356" s="407">
        <v>-2.0000000000000001E-4</v>
      </c>
      <c r="K356" s="410">
        <v>-0.29949999999999999</v>
      </c>
      <c r="L356" s="422">
        <v>-3.0999999999999999E-3</v>
      </c>
      <c r="M356" s="412">
        <v>-1.6490000000000001E-2</v>
      </c>
      <c r="N356" s="413">
        <v>-1.3999999999999999E-4</v>
      </c>
      <c r="O356" s="415">
        <v>-0.98380000000000001</v>
      </c>
      <c r="P356" s="415">
        <v>-0.1993</v>
      </c>
      <c r="Q356" s="415">
        <v>-0.10299999999999999</v>
      </c>
      <c r="R356" s="415">
        <v>-3.3399999999999999E-2</v>
      </c>
      <c r="S356" s="415">
        <v>2.9000000000000001E-2</v>
      </c>
      <c r="T356" s="415">
        <v>1.7899999999999999E-2</v>
      </c>
      <c r="U356" s="415">
        <v>-9.1999999999999998E-3</v>
      </c>
      <c r="V356" s="415">
        <v>-8.8999999999999999E-3</v>
      </c>
      <c r="W356" s="415">
        <v>-8.3000000000000001E-3</v>
      </c>
      <c r="X356" s="416">
        <v>-0.80220000000000002</v>
      </c>
      <c r="Y356" s="418">
        <v>-4.3900000000000002E-2</v>
      </c>
      <c r="Z356" s="418">
        <v>-4.3400000000000001E-2</v>
      </c>
      <c r="AA356" s="418">
        <v>-2.7099999999999999E-2</v>
      </c>
      <c r="AB356" s="419">
        <v>-20647.975399999999</v>
      </c>
      <c r="AC356" s="419">
        <v>-3653.5688</v>
      </c>
      <c r="AD356" s="419">
        <v>-2919.5751</v>
      </c>
      <c r="AE356" s="419">
        <v>-562.90830000000005</v>
      </c>
      <c r="AF356" s="420">
        <v>0.99380000000000002</v>
      </c>
      <c r="AG356" s="370"/>
    </row>
    <row r="357" spans="1:33">
      <c r="A357" s="370"/>
      <c r="B357" s="406">
        <f t="shared" si="6"/>
        <v>352</v>
      </c>
      <c r="C357" s="407">
        <v>-2.41E-2</v>
      </c>
      <c r="D357" s="407">
        <v>-2.9999999999999997E-4</v>
      </c>
      <c r="E357" s="407">
        <v>5.6599999999999998E-2</v>
      </c>
      <c r="F357" s="407">
        <v>-2.2000000000000001E-3</v>
      </c>
      <c r="G357" s="407">
        <v>6.9999999999999999E-4</v>
      </c>
      <c r="H357" s="409">
        <v>1E-3</v>
      </c>
      <c r="I357" s="409">
        <v>-1.4E-3</v>
      </c>
      <c r="J357" s="407">
        <v>-1E-4</v>
      </c>
      <c r="K357" s="410">
        <v>-0.26650000000000001</v>
      </c>
      <c r="L357" s="422">
        <v>-2.8E-3</v>
      </c>
      <c r="M357" s="412">
        <v>-1.6539999999999999E-2</v>
      </c>
      <c r="N357" s="413">
        <v>-1.3999999999999999E-4</v>
      </c>
      <c r="O357" s="415">
        <v>-0.87519999999999998</v>
      </c>
      <c r="P357" s="415">
        <v>-0.17730000000000001</v>
      </c>
      <c r="Q357" s="415">
        <v>-9.1600000000000001E-2</v>
      </c>
      <c r="R357" s="415">
        <v>-2.9700000000000001E-2</v>
      </c>
      <c r="S357" s="415">
        <v>2.58E-2</v>
      </c>
      <c r="T357" s="415">
        <v>1.5900000000000001E-2</v>
      </c>
      <c r="U357" s="415">
        <v>-8.2000000000000007E-3</v>
      </c>
      <c r="V357" s="415">
        <v>-7.9000000000000008E-3</v>
      </c>
      <c r="W357" s="415">
        <v>-7.4000000000000003E-3</v>
      </c>
      <c r="X357" s="416">
        <v>-0.7137</v>
      </c>
      <c r="Y357" s="418">
        <v>-3.9100000000000003E-2</v>
      </c>
      <c r="Z357" s="418">
        <v>-3.8600000000000002E-2</v>
      </c>
      <c r="AA357" s="418">
        <v>-2.41E-2</v>
      </c>
      <c r="AB357" s="419">
        <v>-20701.905500000001</v>
      </c>
      <c r="AC357" s="419">
        <v>-3663.1115</v>
      </c>
      <c r="AD357" s="419">
        <v>-2927.2006999999999</v>
      </c>
      <c r="AE357" s="419">
        <v>-564.37850000000003</v>
      </c>
      <c r="AF357" s="420">
        <v>0.99509999999999998</v>
      </c>
      <c r="AG357" s="370"/>
    </row>
    <row r="358" spans="1:33">
      <c r="A358" s="370"/>
      <c r="B358" s="406">
        <f t="shared" si="6"/>
        <v>353</v>
      </c>
      <c r="C358" s="407">
        <v>-2.1100000000000001E-2</v>
      </c>
      <c r="D358" s="407">
        <v>-2.9999999999999997E-4</v>
      </c>
      <c r="E358" s="407">
        <v>4.9599999999999998E-2</v>
      </c>
      <c r="F358" s="407">
        <v>-2E-3</v>
      </c>
      <c r="G358" s="407">
        <v>5.9999999999999995E-4</v>
      </c>
      <c r="H358" s="409">
        <v>8.9999999999999998E-4</v>
      </c>
      <c r="I358" s="409">
        <v>-1.2999999999999999E-3</v>
      </c>
      <c r="J358" s="407">
        <v>-1E-4</v>
      </c>
      <c r="K358" s="410">
        <v>-0.23330000000000001</v>
      </c>
      <c r="L358" s="422">
        <v>-2.3999999999999998E-3</v>
      </c>
      <c r="M358" s="412">
        <v>-1.6580000000000001E-2</v>
      </c>
      <c r="N358" s="413">
        <v>-1.3999999999999999E-4</v>
      </c>
      <c r="O358" s="415">
        <v>-0.76639999999999997</v>
      </c>
      <c r="P358" s="415">
        <v>-0.15529999999999999</v>
      </c>
      <c r="Q358" s="415">
        <v>-8.0199999999999994E-2</v>
      </c>
      <c r="R358" s="415">
        <v>-2.5999999999999999E-2</v>
      </c>
      <c r="S358" s="415">
        <v>2.2599999999999999E-2</v>
      </c>
      <c r="T358" s="415">
        <v>1.3899999999999999E-2</v>
      </c>
      <c r="U358" s="415">
        <v>-7.1999999999999998E-3</v>
      </c>
      <c r="V358" s="415">
        <v>-7.0000000000000001E-3</v>
      </c>
      <c r="W358" s="415">
        <v>-6.4999999999999997E-3</v>
      </c>
      <c r="X358" s="416">
        <v>-0.625</v>
      </c>
      <c r="Y358" s="418">
        <v>-3.4200000000000001E-2</v>
      </c>
      <c r="Z358" s="418">
        <v>-3.3799999999999997E-2</v>
      </c>
      <c r="AA358" s="418">
        <v>-2.1100000000000001E-2</v>
      </c>
      <c r="AB358" s="419">
        <v>-20749.529699999999</v>
      </c>
      <c r="AC358" s="419">
        <v>-3671.5383999999999</v>
      </c>
      <c r="AD358" s="419">
        <v>-2933.9346999999998</v>
      </c>
      <c r="AE358" s="419">
        <v>-565.67690000000005</v>
      </c>
      <c r="AF358" s="420">
        <v>0.99629999999999996</v>
      </c>
      <c r="AG358" s="370"/>
    </row>
    <row r="359" spans="1:33">
      <c r="A359" s="370"/>
      <c r="B359" s="406">
        <f t="shared" si="6"/>
        <v>354</v>
      </c>
      <c r="C359" s="407">
        <v>-1.8100000000000002E-2</v>
      </c>
      <c r="D359" s="407">
        <v>-2.0000000000000001E-4</v>
      </c>
      <c r="E359" s="407">
        <v>4.2500000000000003E-2</v>
      </c>
      <c r="F359" s="407">
        <v>-1.6999999999999999E-3</v>
      </c>
      <c r="G359" s="407">
        <v>5.0000000000000001E-4</v>
      </c>
      <c r="H359" s="409">
        <v>8.0000000000000004E-4</v>
      </c>
      <c r="I359" s="409">
        <v>-1.1000000000000001E-3</v>
      </c>
      <c r="J359" s="407">
        <v>-1E-4</v>
      </c>
      <c r="K359" s="410">
        <v>-0.2001</v>
      </c>
      <c r="L359" s="422">
        <v>-2.0999999999999999E-3</v>
      </c>
      <c r="M359" s="412">
        <v>-1.661E-2</v>
      </c>
      <c r="N359" s="413">
        <v>-1.3999999999999999E-4</v>
      </c>
      <c r="O359" s="415">
        <v>-0.65739999999999998</v>
      </c>
      <c r="P359" s="415">
        <v>-0.13320000000000001</v>
      </c>
      <c r="Q359" s="415">
        <v>-6.88E-2</v>
      </c>
      <c r="R359" s="415">
        <v>-2.23E-2</v>
      </c>
      <c r="S359" s="415">
        <v>1.9300000000000001E-2</v>
      </c>
      <c r="T359" s="415">
        <v>1.2E-2</v>
      </c>
      <c r="U359" s="415">
        <v>-6.1000000000000004E-3</v>
      </c>
      <c r="V359" s="415">
        <v>-6.0000000000000001E-3</v>
      </c>
      <c r="W359" s="415">
        <v>-5.5999999999999999E-3</v>
      </c>
      <c r="X359" s="416">
        <v>-0.53600000000000003</v>
      </c>
      <c r="Y359" s="418">
        <v>-2.93E-2</v>
      </c>
      <c r="Z359" s="418">
        <v>-2.9000000000000001E-2</v>
      </c>
      <c r="AA359" s="418">
        <v>-1.8100000000000002E-2</v>
      </c>
      <c r="AB359" s="419">
        <v>-20790.833299999998</v>
      </c>
      <c r="AC359" s="419">
        <v>-3678.8469</v>
      </c>
      <c r="AD359" s="419">
        <v>-2939.7748999999999</v>
      </c>
      <c r="AE359" s="419">
        <v>-566.80290000000002</v>
      </c>
      <c r="AF359" s="420">
        <v>0.99729999999999996</v>
      </c>
      <c r="AG359" s="370"/>
    </row>
    <row r="360" spans="1:33">
      <c r="A360" s="370"/>
      <c r="B360" s="406">
        <f t="shared" si="6"/>
        <v>355</v>
      </c>
      <c r="C360" s="407">
        <v>-1.5100000000000001E-2</v>
      </c>
      <c r="D360" s="407">
        <v>-2.0000000000000001E-4</v>
      </c>
      <c r="E360" s="407">
        <v>3.5499999999999997E-2</v>
      </c>
      <c r="F360" s="407">
        <v>-1.4E-3</v>
      </c>
      <c r="G360" s="407">
        <v>4.0000000000000002E-4</v>
      </c>
      <c r="H360" s="409">
        <v>5.9999999999999995E-4</v>
      </c>
      <c r="I360" s="409">
        <v>-8.9999999999999998E-4</v>
      </c>
      <c r="J360" s="407">
        <v>-1E-4</v>
      </c>
      <c r="K360" s="410">
        <v>-0.16689999999999999</v>
      </c>
      <c r="L360" s="422">
        <v>-1.6999999999999999E-3</v>
      </c>
      <c r="M360" s="412">
        <v>-1.6639999999999999E-2</v>
      </c>
      <c r="N360" s="413">
        <v>-1.3999999999999999E-4</v>
      </c>
      <c r="O360" s="415">
        <v>-0.54810000000000003</v>
      </c>
      <c r="P360" s="415">
        <v>-0.111</v>
      </c>
      <c r="Q360" s="415">
        <v>-5.74E-2</v>
      </c>
      <c r="R360" s="415">
        <v>-1.8599999999999998E-2</v>
      </c>
      <c r="S360" s="415">
        <v>1.61E-2</v>
      </c>
      <c r="T360" s="415">
        <v>0.01</v>
      </c>
      <c r="U360" s="415">
        <v>-5.1000000000000004E-3</v>
      </c>
      <c r="V360" s="415">
        <v>-5.0000000000000001E-3</v>
      </c>
      <c r="W360" s="415">
        <v>-4.5999999999999999E-3</v>
      </c>
      <c r="X360" s="416">
        <v>-0.44700000000000001</v>
      </c>
      <c r="Y360" s="418">
        <v>-2.4500000000000001E-2</v>
      </c>
      <c r="Z360" s="418">
        <v>-2.4199999999999999E-2</v>
      </c>
      <c r="AA360" s="418">
        <v>-1.5100000000000001E-2</v>
      </c>
      <c r="AB360" s="419">
        <v>-20825.803800000002</v>
      </c>
      <c r="AC360" s="419">
        <v>-3685.0347999999999</v>
      </c>
      <c r="AD360" s="419">
        <v>-2944.7195999999999</v>
      </c>
      <c r="AE360" s="419">
        <v>-567.75630000000001</v>
      </c>
      <c r="AF360" s="420">
        <v>0.99809999999999999</v>
      </c>
      <c r="AG360" s="370"/>
    </row>
    <row r="361" spans="1:33">
      <c r="A361" s="370"/>
      <c r="B361" s="406">
        <f t="shared" si="6"/>
        <v>356</v>
      </c>
      <c r="C361" s="407">
        <v>-1.21E-2</v>
      </c>
      <c r="D361" s="407">
        <v>-1E-4</v>
      </c>
      <c r="E361" s="407">
        <v>2.8400000000000002E-2</v>
      </c>
      <c r="F361" s="407">
        <v>-1.1000000000000001E-3</v>
      </c>
      <c r="G361" s="407">
        <v>4.0000000000000002E-4</v>
      </c>
      <c r="H361" s="409">
        <v>5.0000000000000001E-4</v>
      </c>
      <c r="I361" s="409">
        <v>-6.9999999999999999E-4</v>
      </c>
      <c r="J361" s="407">
        <v>-1E-4</v>
      </c>
      <c r="K361" s="410">
        <v>-0.1336</v>
      </c>
      <c r="L361" s="422">
        <v>-1.4E-3</v>
      </c>
      <c r="M361" s="412">
        <v>-1.6660000000000001E-2</v>
      </c>
      <c r="N361" s="413">
        <v>-1.3999999999999999E-4</v>
      </c>
      <c r="O361" s="415">
        <v>-0.43869999999999998</v>
      </c>
      <c r="P361" s="415">
        <v>-8.8900000000000007E-2</v>
      </c>
      <c r="Q361" s="415">
        <v>-4.5900000000000003E-2</v>
      </c>
      <c r="R361" s="415">
        <v>-1.49E-2</v>
      </c>
      <c r="S361" s="415">
        <v>1.29E-2</v>
      </c>
      <c r="T361" s="415">
        <v>8.0000000000000002E-3</v>
      </c>
      <c r="U361" s="415">
        <v>-4.1000000000000003E-3</v>
      </c>
      <c r="V361" s="415">
        <v>-4.0000000000000001E-3</v>
      </c>
      <c r="W361" s="415">
        <v>-3.7000000000000002E-3</v>
      </c>
      <c r="X361" s="416">
        <v>-0.35770000000000002</v>
      </c>
      <c r="Y361" s="418">
        <v>-1.9599999999999999E-2</v>
      </c>
      <c r="Z361" s="418">
        <v>-1.9400000000000001E-2</v>
      </c>
      <c r="AA361" s="418">
        <v>-1.21E-2</v>
      </c>
      <c r="AB361" s="419">
        <v>-20854.4306</v>
      </c>
      <c r="AC361" s="419">
        <v>-3690.1001999999999</v>
      </c>
      <c r="AD361" s="419">
        <v>-2948.7674000000002</v>
      </c>
      <c r="AE361" s="419">
        <v>-568.5367</v>
      </c>
      <c r="AF361" s="420">
        <v>0.99880000000000002</v>
      </c>
      <c r="AG361" s="370"/>
    </row>
    <row r="362" spans="1:33">
      <c r="A362" s="370"/>
      <c r="B362" s="406">
        <f t="shared" si="6"/>
        <v>357</v>
      </c>
      <c r="C362" s="407">
        <v>-9.1000000000000004E-3</v>
      </c>
      <c r="D362" s="407">
        <v>-1E-4</v>
      </c>
      <c r="E362" s="407">
        <v>2.1299999999999999E-2</v>
      </c>
      <c r="F362" s="407">
        <v>-8.0000000000000004E-4</v>
      </c>
      <c r="G362" s="407">
        <v>2.9999999999999997E-4</v>
      </c>
      <c r="H362" s="409">
        <v>4.0000000000000002E-4</v>
      </c>
      <c r="I362" s="409">
        <v>-5.0000000000000001E-4</v>
      </c>
      <c r="J362" s="407">
        <v>-1E-4</v>
      </c>
      <c r="K362" s="410">
        <v>-0.1002</v>
      </c>
      <c r="L362" s="422">
        <v>-1E-3</v>
      </c>
      <c r="M362" s="412">
        <v>-1.668E-2</v>
      </c>
      <c r="N362" s="413">
        <v>-1.3999999999999999E-4</v>
      </c>
      <c r="O362" s="415">
        <v>-0.3291</v>
      </c>
      <c r="P362" s="415">
        <v>-6.6699999999999995E-2</v>
      </c>
      <c r="Q362" s="415">
        <v>-3.4500000000000003E-2</v>
      </c>
      <c r="R362" s="415">
        <v>-1.12E-2</v>
      </c>
      <c r="S362" s="415">
        <v>9.7000000000000003E-3</v>
      </c>
      <c r="T362" s="415">
        <v>6.0000000000000001E-3</v>
      </c>
      <c r="U362" s="415">
        <v>-3.0999999999999999E-3</v>
      </c>
      <c r="V362" s="415">
        <v>-3.0000000000000001E-3</v>
      </c>
      <c r="W362" s="415">
        <v>-2.8E-3</v>
      </c>
      <c r="X362" s="416">
        <v>-0.26840000000000003</v>
      </c>
      <c r="Y362" s="418">
        <v>-1.47E-2</v>
      </c>
      <c r="Z362" s="418">
        <v>-1.4500000000000001E-2</v>
      </c>
      <c r="AA362" s="418">
        <v>-9.1000000000000004E-3</v>
      </c>
      <c r="AB362" s="419">
        <v>-20876.704900000001</v>
      </c>
      <c r="AC362" s="419">
        <v>-3694.0414999999998</v>
      </c>
      <c r="AD362" s="419">
        <v>-2951.9169000000002</v>
      </c>
      <c r="AE362" s="419">
        <v>-569.14390000000003</v>
      </c>
      <c r="AF362" s="420">
        <v>0.99929999999999997</v>
      </c>
      <c r="AG362" s="370"/>
    </row>
    <row r="363" spans="1:33">
      <c r="A363" s="370"/>
      <c r="B363" s="406">
        <f t="shared" si="6"/>
        <v>358</v>
      </c>
      <c r="C363" s="407">
        <v>-6.1000000000000004E-3</v>
      </c>
      <c r="D363" s="407">
        <v>-1E-4</v>
      </c>
      <c r="E363" s="407">
        <v>1.4200000000000001E-2</v>
      </c>
      <c r="F363" s="407">
        <v>-5.9999999999999995E-4</v>
      </c>
      <c r="G363" s="407">
        <v>2.0000000000000001E-4</v>
      </c>
      <c r="H363" s="409">
        <v>2.9999999999999997E-4</v>
      </c>
      <c r="I363" s="409">
        <v>-4.0000000000000002E-4</v>
      </c>
      <c r="J363" s="407">
        <v>0</v>
      </c>
      <c r="K363" s="410">
        <v>-6.6799999999999998E-2</v>
      </c>
      <c r="L363" s="422">
        <v>-6.9999999999999999E-4</v>
      </c>
      <c r="M363" s="412">
        <v>-1.669E-2</v>
      </c>
      <c r="N363" s="413">
        <v>-1.3999999999999999E-4</v>
      </c>
      <c r="O363" s="415">
        <v>-0.2195</v>
      </c>
      <c r="P363" s="415">
        <v>-4.4499999999999998E-2</v>
      </c>
      <c r="Q363" s="415">
        <v>-2.3E-2</v>
      </c>
      <c r="R363" s="415">
        <v>-7.4999999999999997E-3</v>
      </c>
      <c r="S363" s="415">
        <v>6.4999999999999997E-3</v>
      </c>
      <c r="T363" s="415">
        <v>4.0000000000000001E-3</v>
      </c>
      <c r="U363" s="415">
        <v>-2.0999999999999999E-3</v>
      </c>
      <c r="V363" s="415">
        <v>-2E-3</v>
      </c>
      <c r="W363" s="415">
        <v>-1.9E-3</v>
      </c>
      <c r="X363" s="416">
        <v>-0.17899999999999999</v>
      </c>
      <c r="Y363" s="418">
        <v>-9.7999999999999997E-3</v>
      </c>
      <c r="Z363" s="418">
        <v>-9.7000000000000003E-3</v>
      </c>
      <c r="AA363" s="418">
        <v>-6.0000000000000001E-3</v>
      </c>
      <c r="AB363" s="419">
        <v>-20892.62</v>
      </c>
      <c r="AC363" s="419">
        <v>-3696.8575999999998</v>
      </c>
      <c r="AD363" s="419">
        <v>-2954.1673000000001</v>
      </c>
      <c r="AE363" s="419">
        <v>-569.57780000000002</v>
      </c>
      <c r="AF363" s="420">
        <v>0.99970000000000003</v>
      </c>
      <c r="AG363" s="370"/>
    </row>
    <row r="364" spans="1:33">
      <c r="A364" s="370"/>
      <c r="B364" s="406">
        <f t="shared" si="6"/>
        <v>359</v>
      </c>
      <c r="C364" s="407">
        <v>-3.0000000000000001E-3</v>
      </c>
      <c r="D364" s="407">
        <v>0</v>
      </c>
      <c r="E364" s="407">
        <v>7.1000000000000004E-3</v>
      </c>
      <c r="F364" s="407">
        <v>-2.9999999999999997E-4</v>
      </c>
      <c r="G364" s="407">
        <v>1E-4</v>
      </c>
      <c r="H364" s="409">
        <v>1E-4</v>
      </c>
      <c r="I364" s="409">
        <v>-2.0000000000000001E-4</v>
      </c>
      <c r="J364" s="407">
        <v>0</v>
      </c>
      <c r="K364" s="410">
        <v>-3.3399999999999999E-2</v>
      </c>
      <c r="L364" s="422">
        <v>-2.9999999999999997E-4</v>
      </c>
      <c r="M364" s="412">
        <v>-1.67E-2</v>
      </c>
      <c r="N364" s="413">
        <v>-1.3999999999999999E-4</v>
      </c>
      <c r="O364" s="415">
        <v>-0.10979999999999999</v>
      </c>
      <c r="P364" s="415">
        <v>-2.2200000000000001E-2</v>
      </c>
      <c r="Q364" s="415">
        <v>-1.15E-2</v>
      </c>
      <c r="R364" s="415">
        <v>-3.7000000000000002E-3</v>
      </c>
      <c r="S364" s="415">
        <v>3.2000000000000002E-3</v>
      </c>
      <c r="T364" s="415">
        <v>2E-3</v>
      </c>
      <c r="U364" s="415">
        <v>-1E-3</v>
      </c>
      <c r="V364" s="415">
        <v>-1E-3</v>
      </c>
      <c r="W364" s="415">
        <v>-8.9999999999999998E-4</v>
      </c>
      <c r="X364" s="416">
        <v>-8.9499999999999996E-2</v>
      </c>
      <c r="Y364" s="418">
        <v>-4.8999999999999998E-3</v>
      </c>
      <c r="Z364" s="418">
        <v>-4.7999999999999996E-3</v>
      </c>
      <c r="AA364" s="418">
        <v>-3.0000000000000001E-3</v>
      </c>
      <c r="AB364" s="419">
        <v>-20902.170999999998</v>
      </c>
      <c r="AC364" s="419">
        <v>-3698.5475999999999</v>
      </c>
      <c r="AD364" s="419">
        <v>-2955.5178000000001</v>
      </c>
      <c r="AE364" s="419">
        <v>-569.83820000000003</v>
      </c>
      <c r="AF364" s="420">
        <v>0.99990000000000001</v>
      </c>
      <c r="AG364" s="370"/>
    </row>
    <row r="365" spans="1:33">
      <c r="A365" s="370"/>
      <c r="B365" s="428">
        <f t="shared" si="6"/>
        <v>360</v>
      </c>
      <c r="C365" s="429">
        <v>0</v>
      </c>
      <c r="D365" s="429">
        <v>0</v>
      </c>
      <c r="E365" s="429">
        <v>0</v>
      </c>
      <c r="F365" s="429">
        <v>0</v>
      </c>
      <c r="G365" s="429">
        <v>0</v>
      </c>
      <c r="H365" s="430">
        <v>0</v>
      </c>
      <c r="I365" s="430">
        <v>0</v>
      </c>
      <c r="J365" s="429">
        <v>0</v>
      </c>
      <c r="K365" s="431">
        <v>0</v>
      </c>
      <c r="L365" s="432">
        <v>0</v>
      </c>
      <c r="M365" s="433">
        <v>-1.67E-2</v>
      </c>
      <c r="N365" s="434">
        <v>-1.3999999999999999E-4</v>
      </c>
      <c r="O365" s="435">
        <v>0</v>
      </c>
      <c r="P365" s="435">
        <v>0</v>
      </c>
      <c r="Q365" s="435">
        <v>0</v>
      </c>
      <c r="R365" s="435">
        <v>0</v>
      </c>
      <c r="S365" s="435">
        <v>0</v>
      </c>
      <c r="T365" s="435">
        <v>0</v>
      </c>
      <c r="U365" s="435">
        <v>0</v>
      </c>
      <c r="V365" s="435">
        <v>0</v>
      </c>
      <c r="W365" s="435">
        <v>0</v>
      </c>
      <c r="X365" s="436">
        <v>0</v>
      </c>
      <c r="Y365" s="437">
        <v>0</v>
      </c>
      <c r="Z365" s="437">
        <v>0</v>
      </c>
      <c r="AA365" s="437">
        <v>0</v>
      </c>
      <c r="AB365" s="438">
        <v>-20905.355</v>
      </c>
      <c r="AC365" s="438">
        <v>-3699.1109999999999</v>
      </c>
      <c r="AD365" s="438">
        <v>-2955.9679999999998</v>
      </c>
      <c r="AE365" s="438">
        <v>-569.92499999999995</v>
      </c>
      <c r="AF365" s="439">
        <v>1</v>
      </c>
      <c r="AG365" s="370"/>
    </row>
    <row r="366" spans="1:33">
      <c r="A366" s="370"/>
      <c r="B366" s="440">
        <f t="shared" si="6"/>
        <v>361</v>
      </c>
      <c r="C366" s="378" t="s">
        <v>127</v>
      </c>
      <c r="D366" s="378" t="s">
        <v>128</v>
      </c>
      <c r="E366" s="378" t="s">
        <v>129</v>
      </c>
      <c r="F366" s="378" t="s">
        <v>130</v>
      </c>
      <c r="G366" s="378" t="s">
        <v>131</v>
      </c>
      <c r="H366" s="378" t="s">
        <v>132</v>
      </c>
      <c r="I366" s="378" t="s">
        <v>133</v>
      </c>
      <c r="J366" s="378" t="s">
        <v>134</v>
      </c>
      <c r="K366" s="379" t="s">
        <v>135</v>
      </c>
      <c r="L366" s="379" t="s">
        <v>136</v>
      </c>
      <c r="M366" s="380" t="s">
        <v>137</v>
      </c>
      <c r="N366" s="381" t="s">
        <v>138</v>
      </c>
      <c r="O366" s="382" t="s">
        <v>139</v>
      </c>
      <c r="P366" s="382" t="s">
        <v>140</v>
      </c>
      <c r="Q366" s="382" t="s">
        <v>141</v>
      </c>
      <c r="R366" s="382" t="s">
        <v>142</v>
      </c>
      <c r="S366" s="382" t="s">
        <v>143</v>
      </c>
      <c r="T366" s="382" t="s">
        <v>144</v>
      </c>
      <c r="U366" s="382" t="s">
        <v>145</v>
      </c>
      <c r="V366" s="382" t="s">
        <v>146</v>
      </c>
      <c r="W366" s="382" t="s">
        <v>147</v>
      </c>
      <c r="X366" s="383" t="s">
        <v>148</v>
      </c>
      <c r="Y366" s="383" t="s">
        <v>149</v>
      </c>
      <c r="Z366" s="383" t="s">
        <v>150</v>
      </c>
      <c r="AA366" s="383" t="s">
        <v>151</v>
      </c>
      <c r="AB366" s="384" t="s">
        <v>152</v>
      </c>
      <c r="AC366" s="384" t="s">
        <v>153</v>
      </c>
      <c r="AD366" s="384" t="s">
        <v>154</v>
      </c>
      <c r="AE366" s="384" t="s">
        <v>155</v>
      </c>
      <c r="AF366" s="441" t="s">
        <v>156</v>
      </c>
      <c r="AG366" s="370"/>
    </row>
    <row r="367" spans="1:33">
      <c r="A367" s="370"/>
      <c r="B367" s="442"/>
      <c r="C367" s="372"/>
      <c r="D367" s="372"/>
      <c r="E367" s="373"/>
      <c r="F367" s="372"/>
      <c r="G367" s="370"/>
      <c r="H367" s="372"/>
      <c r="I367" s="374"/>
      <c r="J367" s="372"/>
      <c r="K367" s="372"/>
      <c r="L367" s="372"/>
      <c r="M367" s="375"/>
      <c r="N367" s="370"/>
      <c r="O367" s="370"/>
      <c r="P367" s="370"/>
      <c r="Q367" s="370"/>
      <c r="R367" s="370"/>
      <c r="S367" s="370"/>
      <c r="T367" s="370"/>
      <c r="U367" s="370"/>
      <c r="V367" s="370"/>
      <c r="W367" s="370"/>
      <c r="X367" s="370"/>
      <c r="Y367" s="370"/>
      <c r="Z367" s="370"/>
      <c r="AA367" s="370"/>
      <c r="AB367" s="370"/>
      <c r="AC367" s="370"/>
      <c r="AD367" s="370"/>
      <c r="AE367" s="370"/>
      <c r="AF367" s="370"/>
      <c r="AG367" s="370"/>
    </row>
  </sheetData>
  <mergeCells count="7">
    <mergeCell ref="B2:B3"/>
    <mergeCell ref="C2:J2"/>
    <mergeCell ref="AB2:AE2"/>
    <mergeCell ref="K2:L2"/>
    <mergeCell ref="M2:N2"/>
    <mergeCell ref="O2:W2"/>
    <mergeCell ref="X2:AA2"/>
  </mergeCells>
  <conditionalFormatting sqref="C6:AF365 C5">
    <cfRule type="expression" dxfId="0" priority="1" stopIfTrue="1">
      <formula>IF(C5&lt;0,TRUE)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38</vt:i4>
      </vt:variant>
    </vt:vector>
  </HeadingPairs>
  <TitlesOfParts>
    <vt:vector size="43" baseType="lpstr">
      <vt:lpstr>MENU</vt:lpstr>
      <vt:lpstr>PROSES</vt:lpstr>
      <vt:lpstr>Delta T</vt:lpstr>
      <vt:lpstr>HAROKAT</vt:lpstr>
      <vt:lpstr>TA'DIL</vt:lpstr>
      <vt:lpstr>A</vt:lpstr>
      <vt:lpstr>ac</vt:lpstr>
      <vt:lpstr>am</vt:lpstr>
      <vt:lpstr>Azc</vt:lpstr>
      <vt:lpstr>Azm</vt:lpstr>
      <vt:lpstr>B</vt:lpstr>
      <vt:lpstr>BT</vt:lpstr>
      <vt:lpstr>D</vt:lpstr>
      <vt:lpstr>dc</vt:lpstr>
      <vt:lpstr>Dip</vt:lpstr>
      <vt:lpstr>dm</vt:lpstr>
      <vt:lpstr>e</vt:lpstr>
      <vt:lpstr>GC</vt:lpstr>
      <vt:lpstr>GM</vt:lpstr>
      <vt:lpstr>hc</vt:lpstr>
      <vt:lpstr>hm</vt:lpstr>
      <vt:lpstr>Hp</vt:lpstr>
      <vt:lpstr>LMT</vt:lpstr>
      <vt:lpstr>LT</vt:lpstr>
      <vt:lpstr>m</vt:lpstr>
      <vt:lpstr>mh</vt:lpstr>
      <vt:lpstr>Mo</vt:lpstr>
      <vt:lpstr>N</vt:lpstr>
      <vt:lpstr>O</vt:lpstr>
      <vt:lpstr>P</vt:lpstr>
      <vt:lpstr>PI</vt:lpstr>
      <vt:lpstr>Ref</vt:lpstr>
      <vt:lpstr>S</vt:lpstr>
      <vt:lpstr>sd</vt:lpstr>
      <vt:lpstr>sdc</vt:lpstr>
      <vt:lpstr>ST</vt:lpstr>
      <vt:lpstr>TDL</vt:lpstr>
      <vt:lpstr>TS</vt:lpstr>
      <vt:lpstr>TT</vt:lpstr>
      <vt:lpstr>TZ</vt:lpstr>
      <vt:lpstr>WQ</vt:lpstr>
      <vt:lpstr>Y</vt:lpstr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IBNU MUSHTHOFA</dc:creator>
  <cp:lastModifiedBy>user asus</cp:lastModifiedBy>
  <dcterms:created xsi:type="dcterms:W3CDTF">2015-05-31T02:52:23Z</dcterms:created>
  <dcterms:modified xsi:type="dcterms:W3CDTF">2026-02-16T02:10:32Z</dcterms:modified>
</cp:coreProperties>
</file>